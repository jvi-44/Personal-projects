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T² against x²</a:t>
            </a:r>
          </a:p>
        </rich>
      </tx>
    </title>
    <plotArea>
      <scatterChart>
        <ser>
          <idx val="0"/>
          <order val="0"/>
          <tx>
            <strRef>
              <f>'Suggested solution'!E5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solution'!$F$6:$F$11</f>
            </numRef>
          </xVal>
          <yVal>
            <numRef>
              <f>'Suggested solution'!$E$6:$E$11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x² / m²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T² / s²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DHS Q3 – Bifilar suspension with two masses (sample data)</t>
        </is>
      </c>
    </row>
    <row r="2">
      <c r="A2" s="2" t="inlineStr">
        <is>
          <t>d = 30.0 cm, l = 35.1 cm, M = 146.2 g. Times are for 10 oscillations.</t>
        </is>
      </c>
    </row>
    <row r="4">
      <c r="D4" s="3" t="inlineStr">
        <is>
          <t>Your processing → fill the yellow cells, then plot your own graph.</t>
        </is>
      </c>
    </row>
    <row r="5">
      <c r="A5" s="4" t="inlineStr">
        <is>
          <t>x / cm</t>
        </is>
      </c>
      <c r="B5" s="4" t="inlineStr">
        <is>
          <t>t1 / s</t>
        </is>
      </c>
      <c r="C5" s="4" t="inlineStr">
        <is>
          <t>t2 / s</t>
        </is>
      </c>
      <c r="D5" s="4" t="inlineStr">
        <is>
          <t>T / s</t>
        </is>
      </c>
      <c r="E5" s="4" t="inlineStr">
        <is>
          <t>T² / s²</t>
        </is>
      </c>
      <c r="F5" s="4" t="inlineStr">
        <is>
          <t>x² / m²</t>
        </is>
      </c>
    </row>
    <row r="6">
      <c r="A6" s="5" t="n">
        <v>4</v>
      </c>
      <c r="B6" s="5" t="n">
        <v>6.97</v>
      </c>
      <c r="C6" s="5" t="n">
        <v>6.98</v>
      </c>
      <c r="D6" s="6" t="n"/>
      <c r="E6" s="6" t="n"/>
      <c r="F6" s="6" t="n"/>
    </row>
    <row r="7">
      <c r="A7" s="5" t="n">
        <v>8</v>
      </c>
      <c r="B7" s="5" t="n">
        <v>8.32</v>
      </c>
      <c r="C7" s="5" t="n">
        <v>8.369999999999999</v>
      </c>
      <c r="D7" s="6" t="n"/>
      <c r="E7" s="6" t="n"/>
      <c r="F7" s="6" t="n"/>
    </row>
    <row r="8">
      <c r="A8" s="5" t="n">
        <v>12</v>
      </c>
      <c r="B8" s="5" t="n">
        <v>10.22</v>
      </c>
      <c r="C8" s="5" t="n">
        <v>10.21</v>
      </c>
      <c r="D8" s="6" t="n"/>
      <c r="E8" s="6" t="n"/>
      <c r="F8" s="6" t="n"/>
    </row>
    <row r="9">
      <c r="A9" s="5" t="n">
        <v>16</v>
      </c>
      <c r="B9" s="5" t="n">
        <v>12.24</v>
      </c>
      <c r="C9" s="5" t="n">
        <v>12.28</v>
      </c>
      <c r="D9" s="6" t="n"/>
      <c r="E9" s="6" t="n"/>
      <c r="F9" s="6" t="n"/>
    </row>
    <row r="10">
      <c r="A10" s="5" t="n">
        <v>20</v>
      </c>
      <c r="B10" s="5" t="n">
        <v>14.63</v>
      </c>
      <c r="C10" s="5" t="n">
        <v>14.56</v>
      </c>
      <c r="D10" s="6" t="n"/>
      <c r="E10" s="6" t="n"/>
      <c r="F10" s="6" t="n"/>
    </row>
    <row r="11">
      <c r="A11" s="5" t="n">
        <v>24</v>
      </c>
      <c r="B11" s="5" t="n">
        <v>17.02</v>
      </c>
      <c r="C11" s="5" t="n">
        <v>17.07</v>
      </c>
      <c r="D11" s="6" t="n"/>
      <c r="E11" s="6" t="n"/>
      <c r="F11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3" customWidth="1" min="6" max="6"/>
    <col width="30" customWidth="1" min="8" max="8"/>
    <col width="16" customWidth="1" min="9" max="9"/>
    <col width="28" customWidth="1" min="10" max="10"/>
  </cols>
  <sheetData>
    <row r="1">
      <c r="A1" s="1" t="inlineStr">
        <is>
          <t>DHS Q3 – Bifilar suspension with two masses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x / cm</t>
        </is>
      </c>
      <c r="B5" s="4" t="inlineStr">
        <is>
          <t>t1 / s</t>
        </is>
      </c>
      <c r="C5" s="4" t="inlineStr">
        <is>
          <t>t2 / s</t>
        </is>
      </c>
      <c r="D5" s="4" t="inlineStr">
        <is>
          <t>T / s</t>
        </is>
      </c>
      <c r="E5" s="4" t="inlineStr">
        <is>
          <t>T² / s²</t>
        </is>
      </c>
      <c r="F5" s="4" t="inlineStr">
        <is>
          <t>x² / m²</t>
        </is>
      </c>
      <c r="H5" s="4" t="inlineStr">
        <is>
          <t>Result</t>
        </is>
      </c>
      <c r="I5" s="4" t="inlineStr">
        <is>
          <t>Value</t>
        </is>
      </c>
      <c r="J5" s="4" t="inlineStr">
        <is>
          <t>Unit / note</t>
        </is>
      </c>
    </row>
    <row r="6">
      <c r="A6" s="5" t="n">
        <v>4</v>
      </c>
      <c r="B6" s="5" t="n">
        <v>6.97</v>
      </c>
      <c r="C6" s="5" t="n">
        <v>6.98</v>
      </c>
      <c r="D6" s="7">
        <f>(B6+C6)/20</f>
        <v/>
      </c>
      <c r="E6" s="7">
        <f>D6^2</f>
        <v/>
      </c>
      <c r="F6" s="7">
        <f>(A6/100)^2</f>
        <v/>
      </c>
      <c r="H6" s="5" t="inlineStr">
        <is>
          <t>gradient</t>
        </is>
      </c>
      <c r="I6" s="7">
        <f>SLOPE(E6:E11,F6:F11)</f>
        <v/>
      </c>
      <c r="J6" s="5" t="inlineStr">
        <is>
          <t>s² m⁻²</t>
        </is>
      </c>
    </row>
    <row r="7">
      <c r="A7" s="5" t="n">
        <v>8</v>
      </c>
      <c r="B7" s="5" t="n">
        <v>8.32</v>
      </c>
      <c r="C7" s="5" t="n">
        <v>8.369999999999999</v>
      </c>
      <c r="D7" s="7">
        <f>(B7+C7)/20</f>
        <v/>
      </c>
      <c r="E7" s="7">
        <f>D7^2</f>
        <v/>
      </c>
      <c r="F7" s="7">
        <f>(A7/100)^2</f>
        <v/>
      </c>
      <c r="H7" s="5" t="inlineStr">
        <is>
          <t>C = intercept</t>
        </is>
      </c>
      <c r="I7" s="7">
        <f>INTERCEPT(E6:E11,F6:F11)</f>
        <v/>
      </c>
      <c r="J7" s="5" t="inlineStr">
        <is>
          <t>s²</t>
        </is>
      </c>
    </row>
    <row r="8">
      <c r="A8" s="5" t="n">
        <v>12</v>
      </c>
      <c r="B8" s="5" t="n">
        <v>10.22</v>
      </c>
      <c r="C8" s="5" t="n">
        <v>10.21</v>
      </c>
      <c r="D8" s="7">
        <f>(B8+C8)/20</f>
        <v/>
      </c>
      <c r="E8" s="7">
        <f>D8^2</f>
        <v/>
      </c>
      <c r="F8" s="7">
        <f>(A8/100)^2</f>
        <v/>
      </c>
      <c r="H8" s="5" t="inlineStr">
        <is>
          <t>I₀ = CMgd²/(4π²l)</t>
        </is>
      </c>
      <c r="I8" s="7">
        <f>INTERCEPT(E6:E11,F6:F11)*0.1462*9.81*0.3^2/(4*PI()^2*0.351)</f>
        <v/>
      </c>
      <c r="J8" s="5" t="inlineStr">
        <is>
          <t>kg m²</t>
        </is>
      </c>
    </row>
    <row r="9">
      <c r="A9" s="5" t="n">
        <v>16</v>
      </c>
      <c r="B9" s="5" t="n">
        <v>12.24</v>
      </c>
      <c r="C9" s="5" t="n">
        <v>12.28</v>
      </c>
      <c r="D9" s="7">
        <f>(B9+C9)/20</f>
        <v/>
      </c>
      <c r="E9" s="7">
        <f>D9^2</f>
        <v/>
      </c>
      <c r="F9" s="7">
        <f>(A9/100)^2</f>
        <v/>
      </c>
    </row>
    <row r="10">
      <c r="A10" s="5" t="n">
        <v>20</v>
      </c>
      <c r="B10" s="5" t="n">
        <v>14.63</v>
      </c>
      <c r="C10" s="5" t="n">
        <v>14.56</v>
      </c>
      <c r="D10" s="7">
        <f>(B10+C10)/20</f>
        <v/>
      </c>
      <c r="E10" s="7">
        <f>D10^2</f>
        <v/>
      </c>
      <c r="F10" s="7">
        <f>(A10/100)^2</f>
        <v/>
      </c>
    </row>
    <row r="11">
      <c r="A11" s="5" t="n">
        <v>24</v>
      </c>
      <c r="B11" s="5" t="n">
        <v>17.02</v>
      </c>
      <c r="C11" s="5" t="n">
        <v>17.07</v>
      </c>
      <c r="D11" s="7">
        <f>(B11+C11)/20</f>
        <v/>
      </c>
      <c r="E11" s="7">
        <f>D11^2</f>
        <v/>
      </c>
      <c r="F11" s="7">
        <f>(A11/100)^2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2026-10-18T12:39:26Z</dcterms:created>
  <dcterms:modified xmlns:dcterms="http://purl.org/dc/terms/" xmlns:xsi="http://www.w3.org/2001/XMLSchema-instance" xsi:type="dcterms:W3CDTF">2026-10-18T12:39:26Z</dcterms:modified>
</cp:coreProperties>
</file>