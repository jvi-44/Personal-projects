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w data" sheetId="1" state="visible" r:id="rId1"/>
    <sheet xmlns:r="http://schemas.openxmlformats.org/officeDocument/2006/relationships" name="Suggested solutio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1D2A44"/>
      <sz val="14"/>
    </font>
    <font>
      <i val="1"/>
      <color rgb="0055617A"/>
    </font>
    <font>
      <b val="1"/>
      <color rgb="00FFFFFF"/>
    </font>
    <font>
      <b val="1"/>
      <color rgb="009A5B00"/>
    </font>
    <font>
      <color rgb="001550C8"/>
    </font>
  </fonts>
  <fills count="4">
    <fill>
      <patternFill/>
    </fill>
    <fill>
      <patternFill patternType="gray125"/>
    </fill>
    <fill>
      <patternFill patternType="solid">
        <fgColor rgb="002A4D8F"/>
      </patternFill>
    </fill>
    <fill>
      <patternFill patternType="solid">
        <fgColor rgb="00FFF4CC"/>
      </patternFill>
    </fill>
  </fills>
  <borders count="2">
    <border>
      <left/>
      <right/>
      <top/>
      <bottom/>
      <diagonal/>
    </border>
    <border>
      <left style="thin">
        <color rgb="00B8C4DA"/>
      </left>
      <right style="thin">
        <color rgb="00B8C4DA"/>
      </right>
      <top style="thin">
        <color rgb="00B8C4DA"/>
      </top>
      <bottom style="thin">
        <color rgb="00B8C4DA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3" borderId="1" pivotButton="0" quotePrefix="0" xfId="0"/>
    <xf numFmtId="0" fontId="5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T⁴ against x</a:t>
            </a:r>
          </a:p>
        </rich>
      </tx>
    </title>
    <plotArea>
      <scatterChart>
        <ser>
          <idx val="0"/>
          <order val="0"/>
          <tx>
            <strRef>
              <f>'Suggested solution'!E5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x"/>
            <size val="7"/>
            <spPr>
              <a:ln xmlns:a="http://schemas.openxmlformats.org/drawingml/2006/main">
                <a:prstDash val="solid"/>
              </a:ln>
            </spPr>
          </marker>
          <trendline>
            <trendlineType val="linear"/>
            <dispRSqr val="1"/>
            <dispEq val="1"/>
          </trendline>
          <xVal>
            <numRef>
              <f>'Suggested solution'!$A$6:$A$12</f>
            </numRef>
          </xVal>
          <yVal>
            <numRef>
              <f>'Suggested solution'!$E$6:$E$12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x / cm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T⁴ / s⁴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10</row>
      <rowOff>0</rowOff>
    </from>
    <ext cx="576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3" customWidth="1" min="5" max="5"/>
  </cols>
  <sheetData>
    <row r="1">
      <c r="A1" s="1" t="inlineStr">
        <is>
          <t>TJC Q1 – System of masses (sample data)</t>
        </is>
      </c>
    </row>
    <row r="2">
      <c r="A2" s="2" t="inlineStr">
        <is>
          <t>Times are for 10 oscillations.</t>
        </is>
      </c>
    </row>
    <row r="4">
      <c r="D4" s="3" t="inlineStr">
        <is>
          <t>Your processing → fill the yellow cells, then plot your own graph.</t>
        </is>
      </c>
    </row>
    <row r="5">
      <c r="A5" s="4" t="inlineStr">
        <is>
          <t>x / cm</t>
        </is>
      </c>
      <c r="B5" s="4" t="inlineStr">
        <is>
          <t>t1 / s</t>
        </is>
      </c>
      <c r="C5" s="4" t="inlineStr">
        <is>
          <t>t2 / s</t>
        </is>
      </c>
      <c r="D5" s="4" t="inlineStr">
        <is>
          <t>T / s</t>
        </is>
      </c>
      <c r="E5" s="4" t="inlineStr">
        <is>
          <t>T⁴ / s⁴</t>
        </is>
      </c>
    </row>
    <row r="6">
      <c r="A6" s="5" t="n">
        <v>5</v>
      </c>
      <c r="B6" s="5" t="n">
        <v>9.76</v>
      </c>
      <c r="C6" s="5" t="n">
        <v>9.83</v>
      </c>
      <c r="D6" s="6" t="n"/>
      <c r="E6" s="6" t="n"/>
    </row>
    <row r="7">
      <c r="A7" s="5" t="n">
        <v>10.1</v>
      </c>
      <c r="B7" s="5" t="n">
        <v>10.41</v>
      </c>
      <c r="C7" s="5" t="n">
        <v>10.48</v>
      </c>
      <c r="D7" s="6" t="n"/>
      <c r="E7" s="6" t="n"/>
    </row>
    <row r="8">
      <c r="A8" s="5" t="n">
        <v>15</v>
      </c>
      <c r="B8" s="5" t="n">
        <v>11.2</v>
      </c>
      <c r="C8" s="5" t="n">
        <v>11.14</v>
      </c>
      <c r="D8" s="6" t="n"/>
      <c r="E8" s="6" t="n"/>
    </row>
    <row r="9">
      <c r="A9" s="5" t="n">
        <v>20.1</v>
      </c>
      <c r="B9" s="5" t="n">
        <v>11.94</v>
      </c>
      <c r="C9" s="5" t="n">
        <v>11.99</v>
      </c>
      <c r="D9" s="6" t="n"/>
      <c r="E9" s="6" t="n"/>
    </row>
    <row r="10">
      <c r="A10" s="5" t="n">
        <v>24.9</v>
      </c>
      <c r="B10" s="5" t="n">
        <v>12.67</v>
      </c>
      <c r="C10" s="5" t="n">
        <v>12.67</v>
      </c>
      <c r="D10" s="6" t="n"/>
      <c r="E10" s="6" t="n"/>
    </row>
    <row r="11">
      <c r="A11" s="5" t="n">
        <v>30.2</v>
      </c>
      <c r="B11" s="5" t="n">
        <v>13.31</v>
      </c>
      <c r="C11" s="5" t="n">
        <v>13.41</v>
      </c>
      <c r="D11" s="6" t="n"/>
      <c r="E11" s="6" t="n"/>
    </row>
    <row r="12">
      <c r="A12" s="5" t="n">
        <v>35.3</v>
      </c>
      <c r="B12" s="5" t="n">
        <v>14.15</v>
      </c>
      <c r="C12" s="5" t="n">
        <v>14</v>
      </c>
      <c r="D12" s="6" t="n"/>
      <c r="E12" s="6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3" customWidth="1" min="5" max="5"/>
    <col width="30" customWidth="1" min="7" max="7"/>
    <col width="16" customWidth="1" min="8" max="8"/>
    <col width="28" customWidth="1" min="9" max="9"/>
  </cols>
  <sheetData>
    <row r="1">
      <c r="A1" s="1" t="inlineStr">
        <is>
          <t>TJC Q1 – System of masses (sample data)</t>
        </is>
      </c>
    </row>
    <row r="2">
      <c r="A2" s="2" t="inlineStr">
        <is>
          <t>Suggested processing (blue = formulas). Compare your own working on the first tab.</t>
        </is>
      </c>
    </row>
    <row r="5">
      <c r="A5" s="4" t="inlineStr">
        <is>
          <t>x / cm</t>
        </is>
      </c>
      <c r="B5" s="4" t="inlineStr">
        <is>
          <t>t1 / s</t>
        </is>
      </c>
      <c r="C5" s="4" t="inlineStr">
        <is>
          <t>t2 / s</t>
        </is>
      </c>
      <c r="D5" s="4" t="inlineStr">
        <is>
          <t>T / s</t>
        </is>
      </c>
      <c r="E5" s="4" t="inlineStr">
        <is>
          <t>T⁴ / s⁴</t>
        </is>
      </c>
      <c r="G5" s="4" t="inlineStr">
        <is>
          <t>Result</t>
        </is>
      </c>
      <c r="H5" s="4" t="inlineStr">
        <is>
          <t>Value</t>
        </is>
      </c>
      <c r="I5" s="4" t="inlineStr">
        <is>
          <t>Unit / note</t>
        </is>
      </c>
    </row>
    <row r="6">
      <c r="A6" s="5" t="n">
        <v>5</v>
      </c>
      <c r="B6" s="5" t="n">
        <v>9.76</v>
      </c>
      <c r="C6" s="5" t="n">
        <v>9.83</v>
      </c>
      <c r="D6" s="7">
        <f>(B6+C6)/20</f>
        <v/>
      </c>
      <c r="E6" s="7">
        <f>D6^4</f>
        <v/>
      </c>
      <c r="G6" s="5" t="inlineStr">
        <is>
          <t>P</t>
        </is>
      </c>
      <c r="H6" s="7">
        <f>SLOPE(E6:E12,A6:A12)</f>
        <v/>
      </c>
      <c r="I6" s="5" t="inlineStr">
        <is>
          <t>s⁴ cm⁻¹</t>
        </is>
      </c>
    </row>
    <row r="7">
      <c r="A7" s="5" t="n">
        <v>10.1</v>
      </c>
      <c r="B7" s="5" t="n">
        <v>10.41</v>
      </c>
      <c r="C7" s="5" t="n">
        <v>10.48</v>
      </c>
      <c r="D7" s="7">
        <f>(B7+C7)/20</f>
        <v/>
      </c>
      <c r="E7" s="7">
        <f>D7^4</f>
        <v/>
      </c>
      <c r="G7" s="5" t="inlineStr">
        <is>
          <t>Q</t>
        </is>
      </c>
      <c r="H7" s="7">
        <f>INTERCEPT(E6:E12,A6:A12)</f>
        <v/>
      </c>
      <c r="I7" s="5" t="inlineStr">
        <is>
          <t>s⁴</t>
        </is>
      </c>
    </row>
    <row r="8">
      <c r="A8" s="5" t="n">
        <v>15</v>
      </c>
      <c r="B8" s="5" t="n">
        <v>11.2</v>
      </c>
      <c r="C8" s="5" t="n">
        <v>11.14</v>
      </c>
      <c r="D8" s="7">
        <f>(B8+C8)/20</f>
        <v/>
      </c>
      <c r="E8" s="7">
        <f>D8^4</f>
        <v/>
      </c>
    </row>
    <row r="9">
      <c r="A9" s="5" t="n">
        <v>20.1</v>
      </c>
      <c r="B9" s="5" t="n">
        <v>11.94</v>
      </c>
      <c r="C9" s="5" t="n">
        <v>11.99</v>
      </c>
      <c r="D9" s="7">
        <f>(B9+C9)/20</f>
        <v/>
      </c>
      <c r="E9" s="7">
        <f>D9^4</f>
        <v/>
      </c>
    </row>
    <row r="10">
      <c r="A10" s="5" t="n">
        <v>24.9</v>
      </c>
      <c r="B10" s="5" t="n">
        <v>12.67</v>
      </c>
      <c r="C10" s="5" t="n">
        <v>12.67</v>
      </c>
      <c r="D10" s="7">
        <f>(B10+C10)/20</f>
        <v/>
      </c>
      <c r="E10" s="7">
        <f>D10^4</f>
        <v/>
      </c>
    </row>
    <row r="11">
      <c r="A11" s="5" t="n">
        <v>30.2</v>
      </c>
      <c r="B11" s="5" t="n">
        <v>13.31</v>
      </c>
      <c r="C11" s="5" t="n">
        <v>13.41</v>
      </c>
      <c r="D11" s="7">
        <f>(B11+C11)/20</f>
        <v/>
      </c>
      <c r="E11" s="7">
        <f>D11^4</f>
        <v/>
      </c>
    </row>
    <row r="12">
      <c r="A12" s="5" t="n">
        <v>35.3</v>
      </c>
      <c r="B12" s="5" t="n">
        <v>14.15</v>
      </c>
      <c r="C12" s="5" t="n">
        <v>14</v>
      </c>
      <c r="D12" s="7">
        <f>(B12+C12)/20</f>
        <v/>
      </c>
      <c r="E12" s="7">
        <f>D12^4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2026-10-18T12:28:42Z</dcterms:created>
  <dcterms:modified xmlns:dcterms="http://purl.org/dc/terms/" xmlns:xsi="http://www.w3.org/2001/XMLSchema-instance" xsi:type="dcterms:W3CDTF">2026-10-18T12:28:42Z</dcterms:modified>
</cp:coreProperties>
</file>