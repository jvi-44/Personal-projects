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(p²/4 + q²) against m²</a:t>
            </a:r>
          </a:p>
        </rich>
      </tx>
    </title>
    <plotArea>
      <scatterChart>
        <ser>
          <idx val="0"/>
          <order val="0"/>
          <tx>
            <strRef>
              <f>'Suggested solution'!F5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solution'!$G$6:$G$11</f>
            </numRef>
          </xVal>
          <yVal>
            <numRef>
              <f>'Suggested solution'!$F$6:$F$11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m² / kg²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(p²/4 + q²) / m²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8" customWidth="1" min="6" max="6"/>
    <col width="13" customWidth="1" min="7" max="7"/>
  </cols>
  <sheetData>
    <row r="1">
      <c r="A1" s="1" t="inlineStr">
        <is>
          <t>HCI Q1 – Springs at 90° (sample data)</t>
        </is>
      </c>
    </row>
    <row r="2">
      <c r="A2" s="2" t="inlineStr">
        <is>
          <t>Unstretched length S = 3.8 cm. Process the raw lengths, then plot (p²/4 + q²) against m² to find k.</t>
        </is>
      </c>
    </row>
    <row r="4">
      <c r="D4" s="3" t="inlineStr">
        <is>
          <t>Your processing → fill the yellow cells, then plot your own graph.</t>
        </is>
      </c>
    </row>
    <row r="5">
      <c r="A5" s="4" t="inlineStr">
        <is>
          <t>m / g</t>
        </is>
      </c>
      <c r="B5" s="4" t="inlineStr">
        <is>
          <t>S1 / cm</t>
        </is>
      </c>
      <c r="C5" s="4" t="inlineStr">
        <is>
          <t>S2 / cm</t>
        </is>
      </c>
      <c r="D5" s="4" t="inlineStr">
        <is>
          <t>p / m</t>
        </is>
      </c>
      <c r="E5" s="4" t="inlineStr">
        <is>
          <t>q / m</t>
        </is>
      </c>
      <c r="F5" s="4" t="inlineStr">
        <is>
          <t>(p²/4+q²) / m²</t>
        </is>
      </c>
      <c r="G5" s="4" t="inlineStr">
        <is>
          <t>m² / kg²</t>
        </is>
      </c>
    </row>
    <row r="6">
      <c r="A6" s="5" t="n">
        <v>200</v>
      </c>
      <c r="B6" s="5" t="n">
        <v>13.8</v>
      </c>
      <c r="C6" s="5" t="n">
        <v>7.5</v>
      </c>
      <c r="D6" s="6" t="n"/>
      <c r="E6" s="6" t="n"/>
      <c r="F6" s="6" t="n"/>
      <c r="G6" s="6" t="n"/>
    </row>
    <row r="7">
      <c r="A7" s="5" t="n">
        <v>250</v>
      </c>
      <c r="B7" s="5" t="n">
        <v>15.6</v>
      </c>
      <c r="C7" s="5" t="n">
        <v>8.4</v>
      </c>
      <c r="D7" s="6" t="n"/>
      <c r="E7" s="6" t="n"/>
      <c r="F7" s="6" t="n"/>
      <c r="G7" s="6" t="n"/>
    </row>
    <row r="8">
      <c r="A8" s="5" t="n">
        <v>300</v>
      </c>
      <c r="B8" s="5" t="n">
        <v>17.5</v>
      </c>
      <c r="C8" s="5" t="n">
        <v>9.300000000000001</v>
      </c>
      <c r="D8" s="6" t="n"/>
      <c r="E8" s="6" t="n"/>
      <c r="F8" s="6" t="n"/>
      <c r="G8" s="6" t="n"/>
    </row>
    <row r="9">
      <c r="A9" s="5" t="n">
        <v>350</v>
      </c>
      <c r="B9" s="5" t="n">
        <v>19.3</v>
      </c>
      <c r="C9" s="5" t="n">
        <v>10.2</v>
      </c>
      <c r="D9" s="6" t="n"/>
      <c r="E9" s="6" t="n"/>
      <c r="F9" s="6" t="n"/>
      <c r="G9" s="6" t="n"/>
    </row>
    <row r="10">
      <c r="A10" s="5" t="n">
        <v>400</v>
      </c>
      <c r="B10" s="5" t="n">
        <v>20.7</v>
      </c>
      <c r="C10" s="5" t="n">
        <v>11.1</v>
      </c>
      <c r="D10" s="6" t="n"/>
      <c r="E10" s="6" t="n"/>
      <c r="F10" s="6" t="n"/>
      <c r="G10" s="6" t="n"/>
    </row>
    <row r="11">
      <c r="A11" s="5" t="n">
        <v>450</v>
      </c>
      <c r="B11" s="5" t="n">
        <v>21</v>
      </c>
      <c r="C11" s="5" t="n">
        <v>12.5</v>
      </c>
      <c r="D11" s="6" t="n"/>
      <c r="E11" s="6" t="n"/>
      <c r="F11" s="6" t="n"/>
      <c r="G1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8" customWidth="1" min="6" max="6"/>
    <col width="13" customWidth="1" min="7" max="7"/>
    <col width="30" customWidth="1" min="9" max="9"/>
    <col width="16" customWidth="1" min="10" max="10"/>
    <col width="28" customWidth="1" min="11" max="11"/>
  </cols>
  <sheetData>
    <row r="1">
      <c r="A1" s="1" t="inlineStr">
        <is>
          <t>HCI Q1 – Springs at 90°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m / g</t>
        </is>
      </c>
      <c r="B5" s="4" t="inlineStr">
        <is>
          <t>S1 / cm</t>
        </is>
      </c>
      <c r="C5" s="4" t="inlineStr">
        <is>
          <t>S2 / cm</t>
        </is>
      </c>
      <c r="D5" s="4" t="inlineStr">
        <is>
          <t>p / m</t>
        </is>
      </c>
      <c r="E5" s="4" t="inlineStr">
        <is>
          <t>q / m</t>
        </is>
      </c>
      <c r="F5" s="4" t="inlineStr">
        <is>
          <t>(p²/4+q²) / m²</t>
        </is>
      </c>
      <c r="G5" s="4" t="inlineStr">
        <is>
          <t>m² / kg²</t>
        </is>
      </c>
      <c r="I5" s="4" t="inlineStr">
        <is>
          <t>Result</t>
        </is>
      </c>
      <c r="J5" s="4" t="inlineStr">
        <is>
          <t>Value</t>
        </is>
      </c>
      <c r="K5" s="4" t="inlineStr">
        <is>
          <t>Unit / note</t>
        </is>
      </c>
    </row>
    <row r="6">
      <c r="A6" s="5" t="n">
        <v>200</v>
      </c>
      <c r="B6" s="5" t="n">
        <v>13.8</v>
      </c>
      <c r="C6" s="5" t="n">
        <v>7.5</v>
      </c>
      <c r="D6" s="7">
        <f>(B6-2*3.8)/100</f>
        <v/>
      </c>
      <c r="E6" s="7">
        <f>(C6-3.8)/100</f>
        <v/>
      </c>
      <c r="F6" s="7">
        <f>D6^2/4+E6^2</f>
        <v/>
      </c>
      <c r="G6" s="7">
        <f>(A6/1000)^2</f>
        <v/>
      </c>
      <c r="I6" s="5" t="inlineStr">
        <is>
          <t>gradient</t>
        </is>
      </c>
      <c r="J6" s="7">
        <f>SLOPE(F6:F11,G6:G11)</f>
        <v/>
      </c>
      <c r="K6" s="5" t="inlineStr">
        <is>
          <t>m² kg⁻²</t>
        </is>
      </c>
    </row>
    <row r="7">
      <c r="A7" s="5" t="n">
        <v>250</v>
      </c>
      <c r="B7" s="5" t="n">
        <v>15.6</v>
      </c>
      <c r="C7" s="5" t="n">
        <v>8.4</v>
      </c>
      <c r="D7" s="7">
        <f>(B7-2*3.8)/100</f>
        <v/>
      </c>
      <c r="E7" s="7">
        <f>(C7-3.8)/100</f>
        <v/>
      </c>
      <c r="F7" s="7">
        <f>D7^2/4+E7^2</f>
        <v/>
      </c>
      <c r="G7" s="7">
        <f>(A7/1000)^2</f>
        <v/>
      </c>
      <c r="I7" s="5" t="inlineStr">
        <is>
          <t>y-intercept</t>
        </is>
      </c>
      <c r="J7" s="7">
        <f>INTERCEPT(F6:F11,G6:G11)</f>
        <v/>
      </c>
      <c r="K7" s="5" t="inlineStr">
        <is>
          <t>m²</t>
        </is>
      </c>
    </row>
    <row r="8">
      <c r="A8" s="5" t="n">
        <v>300</v>
      </c>
      <c r="B8" s="5" t="n">
        <v>17.5</v>
      </c>
      <c r="C8" s="5" t="n">
        <v>9.300000000000001</v>
      </c>
      <c r="D8" s="7">
        <f>(B8-2*3.8)/100</f>
        <v/>
      </c>
      <c r="E8" s="7">
        <f>(C8-3.8)/100</f>
        <v/>
      </c>
      <c r="F8" s="7">
        <f>D8^2/4+E8^2</f>
        <v/>
      </c>
      <c r="G8" s="7">
        <f>(A8/1000)^2</f>
        <v/>
      </c>
      <c r="I8" s="5" t="inlineStr">
        <is>
          <t>k = g/√gradient</t>
        </is>
      </c>
      <c r="J8" s="7">
        <f>9.81/SQRT(SLOPE(F6:F11,G6:G11))</f>
        <v/>
      </c>
      <c r="K8" s="5" t="inlineStr">
        <is>
          <t>N m⁻¹</t>
        </is>
      </c>
    </row>
    <row r="9">
      <c r="A9" s="5" t="n">
        <v>350</v>
      </c>
      <c r="B9" s="5" t="n">
        <v>19.3</v>
      </c>
      <c r="C9" s="5" t="n">
        <v>10.2</v>
      </c>
      <c r="D9" s="7">
        <f>(B9-2*3.8)/100</f>
        <v/>
      </c>
      <c r="E9" s="7">
        <f>(C9-3.8)/100</f>
        <v/>
      </c>
      <c r="F9" s="7">
        <f>D9^2/4+E9^2</f>
        <v/>
      </c>
      <c r="G9" s="7">
        <f>(A9/1000)^2</f>
        <v/>
      </c>
    </row>
    <row r="10">
      <c r="A10" s="5" t="n">
        <v>400</v>
      </c>
      <c r="B10" s="5" t="n">
        <v>20.7</v>
      </c>
      <c r="C10" s="5" t="n">
        <v>11.1</v>
      </c>
      <c r="D10" s="7">
        <f>(B10-2*3.8)/100</f>
        <v/>
      </c>
      <c r="E10" s="7">
        <f>(C10-3.8)/100</f>
        <v/>
      </c>
      <c r="F10" s="7">
        <f>D10^2/4+E10^2</f>
        <v/>
      </c>
      <c r="G10" s="7">
        <f>(A10/1000)^2</f>
        <v/>
      </c>
    </row>
    <row r="11">
      <c r="A11" s="5" t="n">
        <v>450</v>
      </c>
      <c r="B11" s="5" t="n">
        <v>21</v>
      </c>
      <c r="C11" s="5" t="n">
        <v>12.5</v>
      </c>
      <c r="D11" s="7">
        <f>(B11-2*3.8)/100</f>
        <v/>
      </c>
      <c r="E11" s="7">
        <f>(C11-3.8)/100</f>
        <v/>
      </c>
      <c r="F11" s="7">
        <f>D11^2/4+E11^2</f>
        <v/>
      </c>
      <c r="G11" s="7">
        <f>(A11/1000)^2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2026-10-18T09:37:07Z</dcterms:created>
  <dcterms:modified xmlns:dcterms="http://purl.org/dc/terms/" xmlns:xsi="http://www.w3.org/2001/XMLSchema-instance" xsi:type="dcterms:W3CDTF">2026-10-18T09:37:07Z</dcterms:modified>
</cp:coreProperties>
</file>