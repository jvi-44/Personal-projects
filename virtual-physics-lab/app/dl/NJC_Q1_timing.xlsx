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3">
    <fill>
      <patternFill/>
    </fill>
    <fill>
      <patternFill patternType="gray125"/>
    </fill>
    <fill>
      <patternFill patternType="solid">
        <fgColor rgb="002A4D8F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 against R</a:t>
            </a:r>
          </a:p>
        </rich>
      </tx>
    </title>
    <plotArea>
      <scatterChart>
        <ser>
          <idx val="0"/>
          <order val="0"/>
          <tx>
            <strRef>
              <f>'Suggested solution'!B5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solution'!$A$6:$A$11</f>
            </numRef>
          </xVal>
          <yVal>
            <numRef>
              <f>'Suggested solution'!$B$6:$B$11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 / kΩ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NJC Q1 – Capacitor timing circuit (sample data)</t>
        </is>
      </c>
    </row>
    <row r="2">
      <c r="A2" s="2" t="inlineStr">
        <is>
          <t>R measured with a multimeter; t is the time for the voltmeter reading to pass zero.</t>
        </is>
      </c>
    </row>
    <row r="4">
      <c r="C4" s="3" t="inlineStr">
        <is>
          <t>Plot your own graph from these data, then compare with the next tab.</t>
        </is>
      </c>
    </row>
    <row r="5">
      <c r="A5" s="4" t="inlineStr">
        <is>
          <t>R / kΩ</t>
        </is>
      </c>
      <c r="B5" s="4" t="inlineStr">
        <is>
          <t>t / s</t>
        </is>
      </c>
    </row>
    <row r="6">
      <c r="A6" s="5" t="n">
        <v>1.66</v>
      </c>
      <c r="B6" s="5" t="n">
        <v>9.800000000000001</v>
      </c>
    </row>
    <row r="7">
      <c r="A7" s="5" t="n">
        <v>2.5</v>
      </c>
      <c r="B7" s="5" t="n">
        <v>10.9</v>
      </c>
    </row>
    <row r="8">
      <c r="A8" s="5" t="n">
        <v>4.97</v>
      </c>
      <c r="B8" s="5" t="n">
        <v>15</v>
      </c>
    </row>
    <row r="9">
      <c r="A9" s="5" t="n">
        <v>7.49</v>
      </c>
      <c r="B9" s="5" t="n">
        <v>18.2</v>
      </c>
    </row>
    <row r="10">
      <c r="A10" s="5" t="n">
        <v>9.99</v>
      </c>
      <c r="B10" s="5" t="n">
        <v>22.3</v>
      </c>
    </row>
    <row r="11">
      <c r="A11" s="5" t="n">
        <v>14.98</v>
      </c>
      <c r="B11" s="5" t="n">
        <v>29.6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4" max="4"/>
    <col width="16" customWidth="1" min="5" max="5"/>
    <col width="28" customWidth="1" min="6" max="6"/>
  </cols>
  <sheetData>
    <row r="1">
      <c r="A1" s="1" t="inlineStr">
        <is>
          <t>NJC Q1 – Capacitor timing circuit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R / kΩ</t>
        </is>
      </c>
      <c r="B5" s="4" t="inlineStr">
        <is>
          <t>t / s</t>
        </is>
      </c>
      <c r="D5" s="4" t="inlineStr">
        <is>
          <t>Result</t>
        </is>
      </c>
      <c r="E5" s="4" t="inlineStr">
        <is>
          <t>Value</t>
        </is>
      </c>
      <c r="F5" s="4" t="inlineStr">
        <is>
          <t>Unit / note</t>
        </is>
      </c>
    </row>
    <row r="6">
      <c r="A6" s="5" t="n">
        <v>1.66</v>
      </c>
      <c r="B6" s="5" t="n">
        <v>9.800000000000001</v>
      </c>
      <c r="D6" s="5" t="inlineStr">
        <is>
          <t>a = gradient</t>
        </is>
      </c>
      <c r="E6" s="6">
        <f>SLOPE(B6:B11,A6:A11)</f>
        <v/>
      </c>
      <c r="F6" s="5" t="inlineStr">
        <is>
          <t>s kΩ⁻¹</t>
        </is>
      </c>
    </row>
    <row r="7">
      <c r="A7" s="5" t="n">
        <v>2.5</v>
      </c>
      <c r="B7" s="5" t="n">
        <v>10.9</v>
      </c>
      <c r="D7" s="5" t="inlineStr">
        <is>
          <t>b = intercept</t>
        </is>
      </c>
      <c r="E7" s="6">
        <f>INTERCEPT(B6:B11,A6:A11)</f>
        <v/>
      </c>
      <c r="F7" s="5" t="inlineStr">
        <is>
          <t>s</t>
        </is>
      </c>
    </row>
    <row r="8">
      <c r="A8" s="5" t="n">
        <v>4.97</v>
      </c>
      <c r="B8" s="5" t="n">
        <v>15</v>
      </c>
      <c r="D8" s="5" t="inlineStr">
        <is>
          <t>b/a</t>
        </is>
      </c>
      <c r="E8" s="6">
        <f>INTERCEPT(B6:B11,A6:A11)/SLOPE(B6:B11,A6:A11)</f>
        <v/>
      </c>
      <c r="F8" s="5" t="inlineStr">
        <is>
          <t>kΩ</t>
        </is>
      </c>
    </row>
    <row r="9">
      <c r="A9" s="5" t="n">
        <v>7.49</v>
      </c>
      <c r="B9" s="5" t="n">
        <v>18.2</v>
      </c>
      <c r="D9" s="5" t="inlineStr">
        <is>
          <t>C = a/ln2 (bonus)</t>
        </is>
      </c>
      <c r="E9" s="6">
        <f>SLOPE(B6:B11,A6:A11)/LN(2)/1000</f>
        <v/>
      </c>
      <c r="F9" s="5" t="inlineStr">
        <is>
          <t>F</t>
        </is>
      </c>
    </row>
    <row r="10">
      <c r="A10" s="5" t="n">
        <v>9.99</v>
      </c>
      <c r="B10" s="5" t="n">
        <v>22.3</v>
      </c>
    </row>
    <row r="11">
      <c r="A11" s="5" t="n">
        <v>14.98</v>
      </c>
      <c r="B11" s="5" t="n">
        <v>29.6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2026-10-18T09:37:12Z</dcterms:created>
  <dcterms:modified xmlns:dcterms="http://purl.org/dc/terms/" xmlns:xsi="http://www.w3.org/2001/XMLSchema-instance" xsi:type="dcterms:W3CDTF">2026-10-18T09:37:12Z</dcterms:modified>
</cp:coreProperties>
</file>