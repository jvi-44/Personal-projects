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1/I against n²/(n+1)</a:t>
            </a:r>
          </a:p>
        </rich>
      </tx>
    </title>
    <plotArea>
      <scatterChart>
        <ser>
          <idx val="0"/>
          <order val="0"/>
          <tx>
            <strRef>
              <f>'Suggested solution'!D5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solution'!$C$6:$C$10</f>
            </numRef>
          </xVal>
          <yVal>
            <numRef>
              <f>'Suggested solution'!$D$6:$D$10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n²/(n+1)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(1/I) / A⁻¹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</cols>
  <sheetData>
    <row r="1">
      <c r="A1" s="1" t="inlineStr">
        <is>
          <t>DHS Q2 – Resistor network (sample data)</t>
        </is>
      </c>
    </row>
    <row r="2">
      <c r="A2" s="2" t="inlineStr">
        <is>
          <t>E = 1.55 V. Plot 1/I against n²/(n+1).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n</t>
        </is>
      </c>
      <c r="B5" s="4" t="inlineStr">
        <is>
          <t>I / mA</t>
        </is>
      </c>
      <c r="C5" s="4" t="inlineStr">
        <is>
          <t>n²/(n+1)</t>
        </is>
      </c>
      <c r="D5" s="4" t="inlineStr">
        <is>
          <t>(1/I) / A⁻¹</t>
        </is>
      </c>
    </row>
    <row r="6">
      <c r="A6" s="5" t="n">
        <v>0</v>
      </c>
      <c r="B6" s="6" t="n">
        <v>11.65</v>
      </c>
      <c r="C6" s="7" t="n"/>
      <c r="D6" s="7" t="n"/>
    </row>
    <row r="7">
      <c r="A7" s="5" t="n">
        <v>1</v>
      </c>
      <c r="B7" s="6" t="n">
        <v>13.3</v>
      </c>
      <c r="C7" s="7" t="n"/>
      <c r="D7" s="7" t="n"/>
    </row>
    <row r="8">
      <c r="A8" s="5" t="n">
        <v>2</v>
      </c>
      <c r="B8" s="6" t="n">
        <v>17.32</v>
      </c>
      <c r="C8" s="7" t="n"/>
      <c r="D8" s="7" t="n"/>
    </row>
    <row r="9">
      <c r="A9" s="5" t="n">
        <v>3</v>
      </c>
      <c r="B9" s="6" t="n">
        <v>26.17</v>
      </c>
      <c r="C9" s="7" t="n"/>
      <c r="D9" s="7" t="n"/>
    </row>
    <row r="10">
      <c r="A10" s="5" t="n">
        <v>4</v>
      </c>
      <c r="B10" s="6" t="n">
        <v>55.63</v>
      </c>
      <c r="C10" s="7" t="n"/>
      <c r="D10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30" customWidth="1" min="6" max="6"/>
    <col width="16" customWidth="1" min="7" max="7"/>
    <col width="28" customWidth="1" min="8" max="8"/>
  </cols>
  <sheetData>
    <row r="1">
      <c r="A1" s="1" t="inlineStr">
        <is>
          <t>DHS Q2 – Resistor network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n</t>
        </is>
      </c>
      <c r="B5" s="4" t="inlineStr">
        <is>
          <t>I / mA</t>
        </is>
      </c>
      <c r="C5" s="4" t="inlineStr">
        <is>
          <t>n²/(n+1)</t>
        </is>
      </c>
      <c r="D5" s="4" t="inlineStr">
        <is>
          <t>(1/I) / A⁻¹</t>
        </is>
      </c>
      <c r="F5" s="4" t="inlineStr">
        <is>
          <t>Result</t>
        </is>
      </c>
      <c r="G5" s="4" t="inlineStr">
        <is>
          <t>Value</t>
        </is>
      </c>
      <c r="H5" s="4" t="inlineStr">
        <is>
          <t>Unit / note</t>
        </is>
      </c>
    </row>
    <row r="6">
      <c r="A6" s="5" t="n">
        <v>0</v>
      </c>
      <c r="B6" s="6" t="n">
        <v>11.65</v>
      </c>
      <c r="C6" s="8">
        <f>A6^2/(A6+1)</f>
        <v/>
      </c>
      <c r="D6" s="8">
        <f>1000/B6</f>
        <v/>
      </c>
      <c r="F6" s="5" t="inlineStr">
        <is>
          <t>gradient = −R/E</t>
        </is>
      </c>
      <c r="G6" s="8">
        <f>SLOPE(D6:D10,C6:C10)</f>
        <v/>
      </c>
      <c r="H6" s="5" t="inlineStr">
        <is>
          <t>A⁻¹</t>
        </is>
      </c>
    </row>
    <row r="7">
      <c r="A7" s="5" t="n">
        <v>1</v>
      </c>
      <c r="B7" s="6" t="n">
        <v>13.3</v>
      </c>
      <c r="C7" s="8">
        <f>A7^2/(A7+1)</f>
        <v/>
      </c>
      <c r="D7" s="8">
        <f>1000/B7</f>
        <v/>
      </c>
      <c r="F7" s="5" t="inlineStr">
        <is>
          <t>y-intercept = 4R/E</t>
        </is>
      </c>
      <c r="G7" s="8">
        <f>INTERCEPT(D6:D10,C6:C10)</f>
        <v/>
      </c>
      <c r="H7" s="5" t="inlineStr">
        <is>
          <t>A⁻¹</t>
        </is>
      </c>
    </row>
    <row r="8">
      <c r="A8" s="5" t="n">
        <v>2</v>
      </c>
      <c r="B8" s="6" t="n">
        <v>17.32</v>
      </c>
      <c r="C8" s="8">
        <f>A8^2/(A8+1)</f>
        <v/>
      </c>
      <c r="D8" s="8">
        <f>1000/B8</f>
        <v/>
      </c>
      <c r="F8" s="5" t="inlineStr">
        <is>
          <t>x-intercept</t>
        </is>
      </c>
      <c r="G8" s="8">
        <f>-INTERCEPT(D6:D10,C6:C10)/SLOPE(D6:D10,C6:C10)</f>
        <v/>
      </c>
      <c r="H8" s="5" t="inlineStr"/>
    </row>
    <row r="9">
      <c r="A9" s="5" t="n">
        <v>3</v>
      </c>
      <c r="B9" s="6" t="n">
        <v>26.17</v>
      </c>
      <c r="C9" s="8">
        <f>A9^2/(A9+1)</f>
        <v/>
      </c>
      <c r="D9" s="8">
        <f>1000/B9</f>
        <v/>
      </c>
      <c r="F9" s="5" t="inlineStr">
        <is>
          <t>R = −gradient × E (E = 1.55 V)</t>
        </is>
      </c>
      <c r="G9" s="8">
        <f>-SLOPE(D6:D10,C6:C10)*1.55</f>
        <v/>
      </c>
      <c r="H9" s="5" t="inlineStr">
        <is>
          <t>Ω</t>
        </is>
      </c>
    </row>
    <row r="10">
      <c r="A10" s="5" t="n">
        <v>4</v>
      </c>
      <c r="B10" s="6" t="n">
        <v>55.63</v>
      </c>
      <c r="C10" s="8">
        <f>A10^2/(A10+1)</f>
        <v/>
      </c>
      <c r="D10" s="8">
        <f>1000/B10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2026-10-18T22:32:47Z</dcterms:created>
  <dcterms:modified xmlns:dcterms="http://purl.org/dc/terms/" xmlns:xsi="http://www.w3.org/2001/XMLSchema-instance" xsi:type="dcterms:W3CDTF">2026-10-18T22:32:47Z</dcterms:modified>
</cp:coreProperties>
</file>