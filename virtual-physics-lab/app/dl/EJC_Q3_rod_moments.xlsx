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τQ against τP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solution'!$C$6:$C$11</f>
            </numRef>
          </xVal>
          <yVal>
            <numRef>
              <f>'Suggested solution'!$D$6:$D$11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τP / N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τQ / N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EJC Q3 – Rod in equilibrium (sample data)</t>
        </is>
      </c>
    </row>
    <row r="2">
      <c r="A2" s="2" t="inlineStr">
        <is>
          <t>S = 80.0 cm, θ = 50°, W = 0.0981 N, F = 2.94 N. Compute τP = 5Wp and τQ = 7Wq, then plot τQ against τP.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q / cm</t>
        </is>
      </c>
      <c r="B5" s="4" t="inlineStr">
        <is>
          <t>p / cm</t>
        </is>
      </c>
      <c r="C5" s="4" t="inlineStr">
        <is>
          <t>τP / N m</t>
        </is>
      </c>
      <c r="D5" s="4" t="inlineStr">
        <is>
          <t>τQ / N m</t>
        </is>
      </c>
    </row>
    <row r="6">
      <c r="A6" s="5" t="n">
        <v>26</v>
      </c>
      <c r="B6" s="5" t="n">
        <v>75.09999999999999</v>
      </c>
      <c r="C6" s="6" t="n"/>
      <c r="D6" s="6" t="n"/>
    </row>
    <row r="7">
      <c r="A7" s="5" t="n">
        <v>35</v>
      </c>
      <c r="B7" s="5" t="n">
        <v>62.2</v>
      </c>
      <c r="C7" s="6" t="n"/>
      <c r="D7" s="6" t="n"/>
    </row>
    <row r="8">
      <c r="A8" s="5" t="n">
        <v>45</v>
      </c>
      <c r="B8" s="5" t="n">
        <v>47.8</v>
      </c>
      <c r="C8" s="6" t="n"/>
      <c r="D8" s="6" t="n"/>
    </row>
    <row r="9">
      <c r="A9" s="5" t="n">
        <v>55</v>
      </c>
      <c r="B9" s="5" t="n">
        <v>34</v>
      </c>
      <c r="C9" s="6" t="n"/>
      <c r="D9" s="6" t="n"/>
    </row>
    <row r="10">
      <c r="A10" s="5" t="n">
        <v>65</v>
      </c>
      <c r="B10" s="5" t="n">
        <v>20.5</v>
      </c>
      <c r="C10" s="6" t="n"/>
      <c r="D10" s="6" t="n"/>
    </row>
    <row r="11">
      <c r="A11" s="5" t="n">
        <v>75</v>
      </c>
      <c r="B11" s="5" t="n">
        <v>6.8</v>
      </c>
      <c r="C11" s="6" t="n"/>
      <c r="D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EJC Q3 – Rod in equilibrium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q / cm</t>
        </is>
      </c>
      <c r="B5" s="4" t="inlineStr">
        <is>
          <t>p / cm</t>
        </is>
      </c>
      <c r="C5" s="4" t="inlineStr">
        <is>
          <t>τP / N m</t>
        </is>
      </c>
      <c r="D5" s="4" t="inlineStr">
        <is>
          <t>τQ / N m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26</v>
      </c>
      <c r="B6" s="5" t="n">
        <v>75.09999999999999</v>
      </c>
      <c r="C6" s="7">
        <f>5*0.0981*B6/100</f>
        <v/>
      </c>
      <c r="D6" s="7">
        <f>7*0.0981*A6/100</f>
        <v/>
      </c>
      <c r="F6" s="8" t="inlineStr">
        <is>
          <t>B = gradient</t>
        </is>
      </c>
      <c r="G6" s="7">
        <f>SLOPE(D6:D11,C6:C11)</f>
        <v/>
      </c>
      <c r="H6" s="8" t="inlineStr"/>
    </row>
    <row r="7">
      <c r="A7" s="5" t="n">
        <v>35</v>
      </c>
      <c r="B7" s="5" t="n">
        <v>62.2</v>
      </c>
      <c r="C7" s="7">
        <f>5*0.0981*B7/100</f>
        <v/>
      </c>
      <c r="D7" s="7">
        <f>7*0.0981*A7/100</f>
        <v/>
      </c>
      <c r="F7" s="8" t="inlineStr">
        <is>
          <t>A = intercept</t>
        </is>
      </c>
      <c r="G7" s="7">
        <f>INTERCEPT(D6:D11,C6:C11)</f>
        <v/>
      </c>
      <c r="H7" s="8" t="inlineStr">
        <is>
          <t>N m</t>
        </is>
      </c>
    </row>
    <row r="8">
      <c r="A8" s="5" t="n">
        <v>45</v>
      </c>
      <c r="B8" s="5" t="n">
        <v>47.8</v>
      </c>
      <c r="C8" s="7">
        <f>5*0.0981*B8/100</f>
        <v/>
      </c>
      <c r="D8" s="7">
        <f>7*0.0981*A8/100</f>
        <v/>
      </c>
      <c r="F8" s="8" t="inlineStr">
        <is>
          <t>R = F sinθ − 2A/S</t>
        </is>
      </c>
      <c r="G8" s="7">
        <f>2.94*SIN(RADIANS(50))-2*INTERCEPT(D6:D11,C6:C11)/0.8</f>
        <v/>
      </c>
      <c r="H8" s="8" t="inlineStr">
        <is>
          <t>N</t>
        </is>
      </c>
    </row>
    <row r="9">
      <c r="A9" s="5" t="n">
        <v>55</v>
      </c>
      <c r="B9" s="5" t="n">
        <v>34</v>
      </c>
      <c r="C9" s="7">
        <f>5*0.0981*B9/100</f>
        <v/>
      </c>
      <c r="D9" s="7">
        <f>7*0.0981*A9/100</f>
        <v/>
      </c>
    </row>
    <row r="10">
      <c r="A10" s="5" t="n">
        <v>65</v>
      </c>
      <c r="B10" s="5" t="n">
        <v>20.5</v>
      </c>
      <c r="C10" s="7">
        <f>5*0.0981*B10/100</f>
        <v/>
      </c>
      <c r="D10" s="7">
        <f>7*0.0981*A10/100</f>
        <v/>
      </c>
    </row>
    <row r="11">
      <c r="A11" s="5" t="n">
        <v>75</v>
      </c>
      <c r="B11" s="5" t="n">
        <v>6.8</v>
      </c>
      <c r="C11" s="7">
        <f>5*0.0981*B11/100</f>
        <v/>
      </c>
      <c r="D11" s="7">
        <f>7*0.0981*A11/100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2026-10-18T22:22:19Z</dcterms:created>
  <dcterms:modified xmlns:dcterms="http://purl.org/dc/terms/" xmlns:xsi="http://www.w3.org/2001/XMLSchema-instance" xsi:type="dcterms:W3CDTF">2026-10-18T22:22:19Z</dcterms:modified>
</cp:coreProperties>
</file>