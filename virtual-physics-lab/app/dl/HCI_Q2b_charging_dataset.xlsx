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  <font>
      <i val="1"/>
      <color rgb="001D2A44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ln I against (t − t₀)</a:t>
            </a:r>
          </a:p>
        </rich>
      </tx>
    </title>
    <plotArea>
      <scatterChart>
        <ser>
          <idx val="0"/>
          <order val="0"/>
          <tx>
            <strRef>
              <f>'Suggested solution'!D5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solution'!$C$6:$C$156</f>
            </numRef>
          </xVal>
          <yVal>
            <numRef>
              <f>'Suggested solution'!$D$6:$D$156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(t − t₀) / 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ln (I / mA)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1" customWidth="1" min="5" max="5"/>
  </cols>
  <sheetData>
    <row r="1">
      <c r="A1" s="1" t="inlineStr">
        <is>
          <t>HCI Q2(b) – Engineer's charging data (practice dataset)</t>
        </is>
      </c>
    </row>
    <row r="2">
      <c r="A2" s="2" t="inlineStr">
        <is>
          <t>Find t₀ and I₀, the total charge (trapezium rule) and τ (plot ln I against t − t₀ for the clean early part).</t>
        </is>
      </c>
    </row>
    <row r="4">
      <c r="C4" s="3" t="inlineStr">
        <is>
          <t>Your processing → fill the yellow cells, then plot your own graph.</t>
        </is>
      </c>
    </row>
    <row r="5">
      <c r="A5" s="4" t="inlineStr">
        <is>
          <t>t / s</t>
        </is>
      </c>
      <c r="B5" s="4" t="inlineStr">
        <is>
          <t>I / mA</t>
        </is>
      </c>
      <c r="C5" s="4" t="inlineStr">
        <is>
          <t>t − t₀ / s</t>
        </is>
      </c>
      <c r="D5" s="4" t="inlineStr">
        <is>
          <t>ln(I / mA)</t>
        </is>
      </c>
      <c r="E5" s="4" t="inlineStr">
        <is>
          <t>strip area / mA s</t>
        </is>
      </c>
    </row>
    <row r="6">
      <c r="A6" s="5" t="n">
        <v>0</v>
      </c>
      <c r="B6" s="6" t="n">
        <v>0.0001</v>
      </c>
      <c r="C6" s="7" t="n"/>
      <c r="D6" s="7" t="n"/>
      <c r="E6" s="7" t="n"/>
    </row>
    <row r="7">
      <c r="A7" s="5" t="n">
        <v>0.2</v>
      </c>
      <c r="B7" s="6" t="n">
        <v>0.0004</v>
      </c>
      <c r="C7" s="7" t="n"/>
      <c r="D7" s="7" t="n"/>
      <c r="E7" s="7" t="n"/>
    </row>
    <row r="8">
      <c r="A8" s="5" t="n">
        <v>0.4</v>
      </c>
      <c r="B8" s="6" t="n">
        <v>0.0007</v>
      </c>
      <c r="C8" s="7" t="n"/>
      <c r="D8" s="7" t="n"/>
      <c r="E8" s="7" t="n"/>
    </row>
    <row r="9">
      <c r="A9" s="5" t="n">
        <v>0.6</v>
      </c>
      <c r="B9" s="6" t="n">
        <v>0.0005999999999999999</v>
      </c>
      <c r="C9" s="7" t="n"/>
      <c r="D9" s="7" t="n"/>
      <c r="E9" s="7" t="n"/>
    </row>
    <row r="10">
      <c r="A10" s="5" t="n">
        <v>0.8</v>
      </c>
      <c r="B10" s="6" t="n">
        <v>0.0008</v>
      </c>
      <c r="C10" s="7" t="n"/>
      <c r="D10" s="7" t="n"/>
      <c r="E10" s="7" t="n"/>
    </row>
    <row r="11">
      <c r="A11" s="5" t="n">
        <v>1</v>
      </c>
      <c r="B11" s="6" t="n">
        <v>0</v>
      </c>
      <c r="C11" s="7" t="n"/>
      <c r="D11" s="7" t="n"/>
      <c r="E11" s="7" t="n"/>
    </row>
    <row r="12">
      <c r="A12" s="5" t="n">
        <v>1.2</v>
      </c>
      <c r="B12" s="6" t="n">
        <v>0.0004</v>
      </c>
      <c r="C12" s="7" t="n"/>
      <c r="D12" s="7" t="n"/>
      <c r="E12" s="7" t="n"/>
    </row>
    <row r="13">
      <c r="A13" s="5" t="n">
        <v>1.4</v>
      </c>
      <c r="B13" s="6" t="n">
        <v>0.001</v>
      </c>
      <c r="C13" s="7" t="n"/>
      <c r="D13" s="7" t="n"/>
      <c r="E13" s="7" t="n"/>
    </row>
    <row r="14">
      <c r="A14" s="5" t="n">
        <v>1.6</v>
      </c>
      <c r="B14" s="6" t="n">
        <v>0.9036</v>
      </c>
      <c r="C14" s="7" t="n"/>
      <c r="D14" s="7" t="n"/>
      <c r="E14" s="7" t="n"/>
    </row>
    <row r="15">
      <c r="A15" s="5" t="n">
        <v>1.8</v>
      </c>
      <c r="B15" s="6" t="n">
        <v>0.8657</v>
      </c>
      <c r="C15" s="7" t="n"/>
      <c r="D15" s="7" t="n"/>
      <c r="E15" s="7" t="n"/>
    </row>
    <row r="16">
      <c r="A16" s="5" t="n">
        <v>2</v>
      </c>
      <c r="B16" s="6" t="n">
        <v>0.8288</v>
      </c>
      <c r="C16" s="7" t="n"/>
      <c r="D16" s="7" t="n"/>
      <c r="E16" s="7" t="n"/>
    </row>
    <row r="17">
      <c r="A17" s="5" t="n">
        <v>2.2</v>
      </c>
      <c r="B17" s="6" t="n">
        <v>0.7944</v>
      </c>
      <c r="C17" s="7" t="n"/>
      <c r="D17" s="7" t="n"/>
      <c r="E17" s="7" t="n"/>
    </row>
    <row r="18">
      <c r="A18" s="5" t="n">
        <v>2.4</v>
      </c>
      <c r="B18" s="6" t="n">
        <v>0.759</v>
      </c>
      <c r="C18" s="7" t="n"/>
      <c r="D18" s="7" t="n"/>
      <c r="E18" s="7" t="n"/>
    </row>
    <row r="19">
      <c r="A19" s="5" t="n">
        <v>2.6</v>
      </c>
      <c r="B19" s="6" t="n">
        <v>0.7279</v>
      </c>
      <c r="C19" s="7" t="n"/>
      <c r="D19" s="7" t="n"/>
      <c r="E19" s="7" t="n"/>
    </row>
    <row r="20">
      <c r="A20" s="5" t="n">
        <v>2.8</v>
      </c>
      <c r="B20" s="6" t="n">
        <v>0.7003</v>
      </c>
      <c r="C20" s="7" t="n"/>
      <c r="D20" s="7" t="n"/>
      <c r="E20" s="7" t="n"/>
    </row>
    <row r="21">
      <c r="A21" s="5" t="n">
        <v>3</v>
      </c>
      <c r="B21" s="6" t="n">
        <v>0.6686</v>
      </c>
      <c r="C21" s="7" t="n"/>
      <c r="D21" s="7" t="n"/>
      <c r="E21" s="7" t="n"/>
    </row>
    <row r="22">
      <c r="A22" s="5" t="n">
        <v>3.2</v>
      </c>
      <c r="B22" s="6" t="n">
        <v>0.6398</v>
      </c>
      <c r="C22" s="7" t="n"/>
      <c r="D22" s="7" t="n"/>
      <c r="E22" s="7" t="n"/>
    </row>
    <row r="23">
      <c r="A23" s="5" t="n">
        <v>3.4</v>
      </c>
      <c r="B23" s="6" t="n">
        <v>0.6105</v>
      </c>
      <c r="C23" s="7" t="n"/>
      <c r="D23" s="7" t="n"/>
      <c r="E23" s="7" t="n"/>
    </row>
    <row r="24">
      <c r="A24" s="5" t="n">
        <v>3.6</v>
      </c>
      <c r="B24" s="6" t="n">
        <v>0.5897</v>
      </c>
      <c r="C24" s="7" t="n"/>
      <c r="D24" s="7" t="n"/>
      <c r="E24" s="7" t="n"/>
    </row>
    <row r="25">
      <c r="A25" s="5" t="n">
        <v>3.8</v>
      </c>
      <c r="B25" s="6" t="n">
        <v>0.5620000000000001</v>
      </c>
      <c r="C25" s="7" t="n"/>
      <c r="D25" s="7" t="n"/>
      <c r="E25" s="7" t="n"/>
    </row>
    <row r="26">
      <c r="A26" s="5" t="n">
        <v>4</v>
      </c>
      <c r="B26" s="6" t="n">
        <v>0.5414</v>
      </c>
      <c r="C26" s="7" t="n"/>
      <c r="D26" s="7" t="n"/>
      <c r="E26" s="7" t="n"/>
    </row>
    <row r="27">
      <c r="A27" s="5" t="n">
        <v>4.2</v>
      </c>
      <c r="B27" s="6" t="n">
        <v>0.5175999999999999</v>
      </c>
      <c r="C27" s="7" t="n"/>
      <c r="D27" s="7" t="n"/>
      <c r="E27" s="7" t="n"/>
    </row>
    <row r="28">
      <c r="A28" s="5" t="n">
        <v>4.4</v>
      </c>
      <c r="B28" s="6" t="n">
        <v>0.4959</v>
      </c>
      <c r="C28" s="7" t="n"/>
      <c r="D28" s="7" t="n"/>
      <c r="E28" s="7" t="n"/>
    </row>
    <row r="29">
      <c r="A29" s="5" t="n">
        <v>4.6</v>
      </c>
      <c r="B29" s="6" t="n">
        <v>0.4736</v>
      </c>
      <c r="C29" s="7" t="n"/>
      <c r="D29" s="7" t="n"/>
      <c r="E29" s="7" t="n"/>
    </row>
    <row r="30">
      <c r="A30" s="5" t="n">
        <v>4.8</v>
      </c>
      <c r="B30" s="6" t="n">
        <v>0.4581</v>
      </c>
      <c r="C30" s="7" t="n"/>
      <c r="D30" s="7" t="n"/>
      <c r="E30" s="7" t="n"/>
    </row>
    <row r="31">
      <c r="A31" s="5" t="n">
        <v>5</v>
      </c>
      <c r="B31" s="6" t="n">
        <v>0.4399</v>
      </c>
      <c r="C31" s="7" t="n"/>
      <c r="D31" s="7" t="n"/>
      <c r="E31" s="7" t="n"/>
    </row>
    <row r="32">
      <c r="A32" s="5" t="n">
        <v>5.2</v>
      </c>
      <c r="B32" s="6" t="n">
        <v>0.4173</v>
      </c>
      <c r="C32" s="7" t="n"/>
      <c r="D32" s="7" t="n"/>
      <c r="E32" s="7" t="n"/>
    </row>
    <row r="33">
      <c r="A33" s="5" t="n">
        <v>5.4</v>
      </c>
      <c r="B33" s="6" t="n">
        <v>0.3996</v>
      </c>
      <c r="C33" s="7" t="n"/>
      <c r="D33" s="7" t="n"/>
      <c r="E33" s="7" t="n"/>
    </row>
    <row r="34">
      <c r="A34" s="5" t="n">
        <v>5.6</v>
      </c>
      <c r="B34" s="6" t="n">
        <v>0.3821</v>
      </c>
      <c r="C34" s="7" t="n"/>
      <c r="D34" s="7" t="n"/>
      <c r="E34" s="7" t="n"/>
    </row>
    <row r="35">
      <c r="A35" s="5" t="n">
        <v>5.8</v>
      </c>
      <c r="B35" s="6" t="n">
        <v>0.3691</v>
      </c>
      <c r="C35" s="7" t="n"/>
      <c r="D35" s="7" t="n"/>
      <c r="E35" s="7" t="n"/>
    </row>
    <row r="36">
      <c r="A36" s="5" t="n">
        <v>6</v>
      </c>
      <c r="B36" s="6" t="n">
        <v>0.355</v>
      </c>
      <c r="C36" s="7" t="n"/>
      <c r="D36" s="7" t="n"/>
      <c r="E36" s="7" t="n"/>
    </row>
    <row r="37">
      <c r="A37" s="5" t="n">
        <v>6.2</v>
      </c>
      <c r="B37" s="6" t="n">
        <v>0.3391</v>
      </c>
      <c r="C37" s="7" t="n"/>
      <c r="D37" s="7" t="n"/>
      <c r="E37" s="7" t="n"/>
    </row>
    <row r="38">
      <c r="A38" s="5" t="n">
        <v>6.4</v>
      </c>
      <c r="B38" s="6" t="n">
        <v>0.329</v>
      </c>
      <c r="C38" s="7" t="n"/>
      <c r="D38" s="7" t="n"/>
      <c r="E38" s="7" t="n"/>
    </row>
    <row r="39">
      <c r="A39" s="5" t="n">
        <v>6.6</v>
      </c>
      <c r="B39" s="6" t="n">
        <v>0.314</v>
      </c>
      <c r="C39" s="7" t="n"/>
      <c r="D39" s="7" t="n"/>
      <c r="E39" s="7" t="n"/>
    </row>
    <row r="40">
      <c r="A40" s="5" t="n">
        <v>6.8</v>
      </c>
      <c r="B40" s="6" t="n">
        <v>0.3</v>
      </c>
      <c r="C40" s="7" t="n"/>
      <c r="D40" s="7" t="n"/>
      <c r="E40" s="7" t="n"/>
    </row>
    <row r="41">
      <c r="A41" s="5" t="n">
        <v>7</v>
      </c>
      <c r="B41" s="6" t="n">
        <v>0.2814</v>
      </c>
      <c r="C41" s="7" t="n"/>
      <c r="D41" s="7" t="n"/>
      <c r="E41" s="7" t="n"/>
    </row>
    <row r="42">
      <c r="A42" s="5" t="n">
        <v>7.2</v>
      </c>
      <c r="B42" s="6" t="n">
        <v>0.2718</v>
      </c>
      <c r="C42" s="7" t="n"/>
      <c r="D42" s="7" t="n"/>
      <c r="E42" s="7" t="n"/>
    </row>
    <row r="43">
      <c r="A43" s="5" t="n">
        <v>7.4</v>
      </c>
      <c r="B43" s="6" t="n">
        <v>0.263</v>
      </c>
      <c r="C43" s="7" t="n"/>
      <c r="D43" s="7" t="n"/>
      <c r="E43" s="7" t="n"/>
    </row>
    <row r="44">
      <c r="A44" s="5" t="n">
        <v>7.6</v>
      </c>
      <c r="B44" s="6" t="n">
        <v>0.2491</v>
      </c>
      <c r="C44" s="7" t="n"/>
      <c r="D44" s="7" t="n"/>
      <c r="E44" s="7" t="n"/>
    </row>
    <row r="45">
      <c r="A45" s="5" t="n">
        <v>7.8</v>
      </c>
      <c r="B45" s="6" t="n">
        <v>0.2416</v>
      </c>
      <c r="C45" s="7" t="n"/>
      <c r="D45" s="7" t="n"/>
      <c r="E45" s="7" t="n"/>
    </row>
    <row r="46">
      <c r="A46" s="5" t="n">
        <v>8</v>
      </c>
      <c r="B46" s="6" t="n">
        <v>0.2334</v>
      </c>
      <c r="C46" s="7" t="n"/>
      <c r="D46" s="7" t="n"/>
      <c r="E46" s="7" t="n"/>
    </row>
    <row r="47">
      <c r="A47" s="5" t="n">
        <v>8.199999999999999</v>
      </c>
      <c r="B47" s="6" t="n">
        <v>0.2189</v>
      </c>
      <c r="C47" s="7" t="n"/>
      <c r="D47" s="7" t="n"/>
      <c r="E47" s="7" t="n"/>
    </row>
    <row r="48">
      <c r="A48" s="5" t="n">
        <v>8.4</v>
      </c>
      <c r="B48" s="6" t="n">
        <v>0.2126</v>
      </c>
      <c r="C48" s="7" t="n"/>
      <c r="D48" s="7" t="n"/>
      <c r="E48" s="7" t="n"/>
    </row>
    <row r="49">
      <c r="A49" s="5" t="n">
        <v>8.6</v>
      </c>
      <c r="B49" s="6" t="n">
        <v>0.2033</v>
      </c>
      <c r="C49" s="7" t="n"/>
      <c r="D49" s="7" t="n"/>
      <c r="E49" s="7" t="n"/>
    </row>
    <row r="50">
      <c r="A50" s="5" t="n">
        <v>8.800000000000001</v>
      </c>
      <c r="B50" s="6" t="n">
        <v>0.192</v>
      </c>
      <c r="C50" s="7" t="n"/>
      <c r="D50" s="7" t="n"/>
      <c r="E50" s="7" t="n"/>
    </row>
    <row r="51">
      <c r="A51" s="5" t="n">
        <v>9</v>
      </c>
      <c r="B51" s="6" t="n">
        <v>0.1866</v>
      </c>
      <c r="C51" s="7" t="n"/>
      <c r="D51" s="7" t="n"/>
      <c r="E51" s="7" t="n"/>
    </row>
    <row r="52">
      <c r="A52" s="5" t="n">
        <v>9.199999999999999</v>
      </c>
      <c r="B52" s="6" t="n">
        <v>0.1782</v>
      </c>
      <c r="C52" s="7" t="n"/>
      <c r="D52" s="7" t="n"/>
      <c r="E52" s="7" t="n"/>
    </row>
    <row r="53">
      <c r="A53" s="5" t="n">
        <v>9.4</v>
      </c>
      <c r="B53" s="6" t="n">
        <v>0.1705</v>
      </c>
      <c r="C53" s="7" t="n"/>
      <c r="D53" s="7" t="n"/>
      <c r="E53" s="7" t="n"/>
    </row>
    <row r="54">
      <c r="A54" s="5" t="n">
        <v>9.6</v>
      </c>
      <c r="B54" s="6" t="n">
        <v>0.1674</v>
      </c>
      <c r="C54" s="7" t="n"/>
      <c r="D54" s="7" t="n"/>
      <c r="E54" s="7" t="n"/>
    </row>
    <row r="55">
      <c r="A55" s="5" t="n">
        <v>9.800000000000001</v>
      </c>
      <c r="B55" s="6" t="n">
        <v>0.1586</v>
      </c>
      <c r="C55" s="7" t="n"/>
      <c r="D55" s="7" t="n"/>
      <c r="E55" s="7" t="n"/>
    </row>
    <row r="56">
      <c r="A56" s="5" t="n">
        <v>10</v>
      </c>
      <c r="B56" s="6" t="n">
        <v>0.1504</v>
      </c>
      <c r="C56" s="7" t="n"/>
      <c r="D56" s="7" t="n"/>
      <c r="E56" s="7" t="n"/>
    </row>
    <row r="57">
      <c r="A57" s="5" t="n">
        <v>10.2</v>
      </c>
      <c r="B57" s="6" t="n">
        <v>0.1472</v>
      </c>
      <c r="C57" s="7" t="n"/>
      <c r="D57" s="7" t="n"/>
      <c r="E57" s="7" t="n"/>
    </row>
    <row r="58">
      <c r="A58" s="5" t="n">
        <v>10.4</v>
      </c>
      <c r="B58" s="6" t="n">
        <v>0.1397</v>
      </c>
      <c r="C58" s="7" t="n"/>
      <c r="D58" s="7" t="n"/>
      <c r="E58" s="7" t="n"/>
    </row>
    <row r="59">
      <c r="A59" s="5" t="n">
        <v>10.6</v>
      </c>
      <c r="B59" s="6" t="n">
        <v>0.1325</v>
      </c>
      <c r="C59" s="7" t="n"/>
      <c r="D59" s="7" t="n"/>
      <c r="E59" s="7" t="n"/>
    </row>
    <row r="60">
      <c r="A60" s="5" t="n">
        <v>10.8</v>
      </c>
      <c r="B60" s="6" t="n">
        <v>0.125</v>
      </c>
      <c r="C60" s="7" t="n"/>
      <c r="D60" s="7" t="n"/>
      <c r="E60" s="7" t="n"/>
    </row>
    <row r="61">
      <c r="A61" s="5" t="n">
        <v>11</v>
      </c>
      <c r="B61" s="6" t="n">
        <v>0.1221</v>
      </c>
      <c r="C61" s="7" t="n"/>
      <c r="D61" s="7" t="n"/>
      <c r="E61" s="7" t="n"/>
    </row>
    <row r="62">
      <c r="A62" s="5" t="n">
        <v>11.2</v>
      </c>
      <c r="B62" s="6" t="n">
        <v>0.1145</v>
      </c>
      <c r="C62" s="7" t="n"/>
      <c r="D62" s="7" t="n"/>
      <c r="E62" s="7" t="n"/>
    </row>
    <row r="63">
      <c r="A63" s="5" t="n">
        <v>11.4</v>
      </c>
      <c r="B63" s="6" t="n">
        <v>0.11</v>
      </c>
      <c r="C63" s="7" t="n"/>
      <c r="D63" s="7" t="n"/>
      <c r="E63" s="7" t="n"/>
    </row>
    <row r="64">
      <c r="A64" s="5" t="n">
        <v>11.6</v>
      </c>
      <c r="B64" s="6" t="n">
        <v>0.1063</v>
      </c>
      <c r="C64" s="7" t="n"/>
      <c r="D64" s="7" t="n"/>
      <c r="E64" s="7" t="n"/>
    </row>
    <row r="65">
      <c r="A65" s="5" t="n">
        <v>11.8</v>
      </c>
      <c r="B65" s="6" t="n">
        <v>0.1035</v>
      </c>
      <c r="C65" s="7" t="n"/>
      <c r="D65" s="7" t="n"/>
      <c r="E65" s="7" t="n"/>
    </row>
    <row r="66">
      <c r="A66" s="5" t="n">
        <v>12</v>
      </c>
      <c r="B66" s="6" t="n">
        <v>0.0969</v>
      </c>
      <c r="C66" s="7" t="n"/>
      <c r="D66" s="7" t="n"/>
      <c r="E66" s="7" t="n"/>
    </row>
    <row r="67">
      <c r="A67" s="5" t="n">
        <v>12.2</v>
      </c>
      <c r="B67" s="6" t="n">
        <v>0.09470000000000001</v>
      </c>
      <c r="C67" s="7" t="n"/>
      <c r="D67" s="7" t="n"/>
      <c r="E67" s="7" t="n"/>
    </row>
    <row r="68">
      <c r="A68" s="5" t="n">
        <v>12.4</v>
      </c>
      <c r="B68" s="6" t="n">
        <v>0.0907</v>
      </c>
      <c r="C68" s="7" t="n"/>
      <c r="D68" s="7" t="n"/>
      <c r="E68" s="7" t="n"/>
    </row>
    <row r="69">
      <c r="A69" s="5" t="n">
        <v>12.6</v>
      </c>
      <c r="B69" s="6" t="n">
        <v>0.0868</v>
      </c>
      <c r="C69" s="7" t="n"/>
      <c r="D69" s="7" t="n"/>
      <c r="E69" s="7" t="n"/>
    </row>
    <row r="70">
      <c r="A70" s="5" t="n">
        <v>12.8</v>
      </c>
      <c r="B70" s="6" t="n">
        <v>0.0822</v>
      </c>
      <c r="C70" s="7" t="n"/>
      <c r="D70" s="7" t="n"/>
      <c r="E70" s="7" t="n"/>
    </row>
    <row r="71">
      <c r="A71" s="5" t="n">
        <v>13</v>
      </c>
      <c r="B71" s="6" t="n">
        <v>0.0824</v>
      </c>
      <c r="C71" s="7" t="n"/>
      <c r="D71" s="7" t="n"/>
      <c r="E71" s="7" t="n"/>
    </row>
    <row r="72">
      <c r="A72" s="5" t="n">
        <v>13.2</v>
      </c>
      <c r="B72" s="6" t="n">
        <v>0.0751</v>
      </c>
      <c r="C72" s="7" t="n"/>
      <c r="D72" s="7" t="n"/>
      <c r="E72" s="7" t="n"/>
    </row>
    <row r="73">
      <c r="A73" s="5" t="n">
        <v>13.4</v>
      </c>
      <c r="B73" s="6" t="n">
        <v>0.07340000000000001</v>
      </c>
      <c r="C73" s="7" t="n"/>
      <c r="D73" s="7" t="n"/>
      <c r="E73" s="7" t="n"/>
    </row>
    <row r="74">
      <c r="A74" s="5" t="n">
        <v>13.6</v>
      </c>
      <c r="B74" s="6" t="n">
        <v>0.06859999999999999</v>
      </c>
      <c r="C74" s="7" t="n"/>
      <c r="D74" s="7" t="n"/>
      <c r="E74" s="7" t="n"/>
    </row>
    <row r="75">
      <c r="A75" s="5" t="n">
        <v>13.8</v>
      </c>
      <c r="B75" s="6" t="n">
        <v>0.0664</v>
      </c>
      <c r="C75" s="7" t="n"/>
      <c r="D75" s="7" t="n"/>
      <c r="E75" s="7" t="n"/>
    </row>
    <row r="76">
      <c r="A76" s="5" t="n">
        <v>14</v>
      </c>
      <c r="B76" s="6" t="n">
        <v>0.06370000000000001</v>
      </c>
      <c r="C76" s="7" t="n"/>
      <c r="D76" s="7" t="n"/>
      <c r="E76" s="7" t="n"/>
    </row>
    <row r="77">
      <c r="A77" s="5" t="n">
        <v>14.2</v>
      </c>
      <c r="B77" s="6" t="n">
        <v>0.0605</v>
      </c>
      <c r="C77" s="7" t="n"/>
      <c r="D77" s="7" t="n"/>
      <c r="E77" s="7" t="n"/>
    </row>
    <row r="78">
      <c r="A78" s="5" t="n">
        <v>14.4</v>
      </c>
      <c r="B78" s="6" t="n">
        <v>0.0572</v>
      </c>
      <c r="C78" s="7" t="n"/>
      <c r="D78" s="7" t="n"/>
      <c r="E78" s="7" t="n"/>
    </row>
    <row r="79">
      <c r="A79" s="5" t="n">
        <v>14.6</v>
      </c>
      <c r="B79" s="6" t="n">
        <v>0.0586</v>
      </c>
      <c r="C79" s="7" t="n"/>
      <c r="D79" s="7" t="n"/>
      <c r="E79" s="7" t="n"/>
    </row>
    <row r="80">
      <c r="A80" s="5" t="n">
        <v>14.8</v>
      </c>
      <c r="B80" s="6" t="n">
        <v>0.0553</v>
      </c>
      <c r="C80" s="7" t="n"/>
      <c r="D80" s="7" t="n"/>
      <c r="E80" s="7" t="n"/>
    </row>
    <row r="81">
      <c r="A81" s="5" t="n">
        <v>15</v>
      </c>
      <c r="B81" s="6" t="n">
        <v>0.0518</v>
      </c>
      <c r="C81" s="7" t="n"/>
      <c r="D81" s="7" t="n"/>
      <c r="E81" s="7" t="n"/>
    </row>
    <row r="82">
      <c r="A82" s="5" t="n">
        <v>15.2</v>
      </c>
      <c r="B82" s="6" t="n">
        <v>0.0474</v>
      </c>
      <c r="C82" s="7" t="n"/>
      <c r="D82" s="7" t="n"/>
      <c r="E82" s="7" t="n"/>
    </row>
    <row r="83">
      <c r="A83" s="5" t="n">
        <v>15.4</v>
      </c>
      <c r="B83" s="6" t="n">
        <v>0.0494</v>
      </c>
      <c r="C83" s="7" t="n"/>
      <c r="D83" s="7" t="n"/>
      <c r="E83" s="7" t="n"/>
    </row>
    <row r="84">
      <c r="A84" s="5" t="n">
        <v>15.6</v>
      </c>
      <c r="B84" s="6" t="n">
        <v>0.0468</v>
      </c>
      <c r="C84" s="7" t="n"/>
      <c r="D84" s="7" t="n"/>
      <c r="E84" s="7" t="n"/>
    </row>
    <row r="85">
      <c r="A85" s="5" t="n">
        <v>15.8</v>
      </c>
      <c r="B85" s="6" t="n">
        <v>0.0472</v>
      </c>
      <c r="C85" s="7" t="n"/>
      <c r="D85" s="7" t="n"/>
      <c r="E85" s="7" t="n"/>
    </row>
    <row r="86">
      <c r="A86" s="5" t="n">
        <v>16</v>
      </c>
      <c r="B86" s="6" t="n">
        <v>0.0389</v>
      </c>
      <c r="C86" s="7" t="n"/>
      <c r="D86" s="7" t="n"/>
      <c r="E86" s="7" t="n"/>
    </row>
    <row r="87">
      <c r="A87" s="5" t="n">
        <v>16.2</v>
      </c>
      <c r="B87" s="6" t="n">
        <v>0.0422</v>
      </c>
      <c r="C87" s="7" t="n"/>
      <c r="D87" s="7" t="n"/>
      <c r="E87" s="7" t="n"/>
    </row>
    <row r="88">
      <c r="A88" s="5" t="n">
        <v>16.4</v>
      </c>
      <c r="B88" s="6" t="n">
        <v>0.0378</v>
      </c>
      <c r="C88" s="7" t="n"/>
      <c r="D88" s="7" t="n"/>
      <c r="E88" s="7" t="n"/>
    </row>
    <row r="89">
      <c r="A89" s="5" t="n">
        <v>16.6</v>
      </c>
      <c r="B89" s="6" t="n">
        <v>0.0357</v>
      </c>
      <c r="C89" s="7" t="n"/>
      <c r="D89" s="7" t="n"/>
      <c r="E89" s="7" t="n"/>
    </row>
    <row r="90">
      <c r="A90" s="5" t="n">
        <v>16.8</v>
      </c>
      <c r="B90" s="6" t="n">
        <v>0.0348</v>
      </c>
      <c r="C90" s="7" t="n"/>
      <c r="D90" s="7" t="n"/>
      <c r="E90" s="7" t="n"/>
    </row>
    <row r="91">
      <c r="A91" s="5" t="n">
        <v>17</v>
      </c>
      <c r="B91" s="6" t="n">
        <v>0.0342</v>
      </c>
      <c r="C91" s="7" t="n"/>
      <c r="D91" s="7" t="n"/>
      <c r="E91" s="7" t="n"/>
    </row>
    <row r="92">
      <c r="A92" s="5" t="n">
        <v>17.2</v>
      </c>
      <c r="B92" s="6" t="n">
        <v>0.0335</v>
      </c>
      <c r="C92" s="7" t="n"/>
      <c r="D92" s="7" t="n"/>
      <c r="E92" s="7" t="n"/>
    </row>
    <row r="93">
      <c r="A93" s="5" t="n">
        <v>17.4</v>
      </c>
      <c r="B93" s="6" t="n">
        <v>0.0284</v>
      </c>
      <c r="C93" s="7" t="n"/>
      <c r="D93" s="7" t="n"/>
      <c r="E93" s="7" t="n"/>
    </row>
    <row r="94">
      <c r="A94" s="5" t="n">
        <v>17.6</v>
      </c>
      <c r="B94" s="6" t="n">
        <v>0.0301</v>
      </c>
      <c r="C94" s="7" t="n"/>
      <c r="D94" s="7" t="n"/>
      <c r="E94" s="7" t="n"/>
    </row>
    <row r="95">
      <c r="A95" s="5" t="n">
        <v>17.8</v>
      </c>
      <c r="B95" s="6" t="n">
        <v>0.0281</v>
      </c>
      <c r="C95" s="7" t="n"/>
      <c r="D95" s="7" t="n"/>
      <c r="E95" s="7" t="n"/>
    </row>
    <row r="96">
      <c r="A96" s="5" t="n">
        <v>18</v>
      </c>
      <c r="B96" s="6" t="n">
        <v>0.0268</v>
      </c>
      <c r="C96" s="7" t="n"/>
      <c r="D96" s="7" t="n"/>
      <c r="E96" s="7" t="n"/>
    </row>
    <row r="97">
      <c r="A97" s="5" t="n">
        <v>18.2</v>
      </c>
      <c r="B97" s="6" t="n">
        <v>0.0258</v>
      </c>
      <c r="C97" s="7" t="n"/>
      <c r="D97" s="7" t="n"/>
      <c r="E97" s="7" t="n"/>
    </row>
    <row r="98">
      <c r="A98" s="5" t="n">
        <v>18.4</v>
      </c>
      <c r="B98" s="6" t="n">
        <v>0.0236</v>
      </c>
      <c r="C98" s="7" t="n"/>
      <c r="D98" s="7" t="n"/>
      <c r="E98" s="7" t="n"/>
    </row>
    <row r="99">
      <c r="A99" s="5" t="n">
        <v>18.6</v>
      </c>
      <c r="B99" s="6" t="n">
        <v>0.0228</v>
      </c>
      <c r="C99" s="7" t="n"/>
      <c r="D99" s="7" t="n"/>
      <c r="E99" s="7" t="n"/>
    </row>
    <row r="100">
      <c r="A100" s="5" t="n">
        <v>18.8</v>
      </c>
      <c r="B100" s="6" t="n">
        <v>0.0208</v>
      </c>
      <c r="C100" s="7" t="n"/>
      <c r="D100" s="7" t="n"/>
      <c r="E100" s="7" t="n"/>
    </row>
    <row r="101">
      <c r="A101" s="5" t="n">
        <v>19</v>
      </c>
      <c r="B101" s="6" t="n">
        <v>0.0218</v>
      </c>
      <c r="C101" s="7" t="n"/>
      <c r="D101" s="7" t="n"/>
      <c r="E101" s="7" t="n"/>
    </row>
    <row r="102">
      <c r="A102" s="5" t="n">
        <v>19.2</v>
      </c>
      <c r="B102" s="6" t="n">
        <v>0.0211</v>
      </c>
      <c r="C102" s="7" t="n"/>
      <c r="D102" s="7" t="n"/>
      <c r="E102" s="7" t="n"/>
    </row>
    <row r="103">
      <c r="A103" s="5" t="n">
        <v>19.4</v>
      </c>
      <c r="B103" s="6" t="n">
        <v>0.0235</v>
      </c>
      <c r="C103" s="7" t="n"/>
      <c r="D103" s="7" t="n"/>
      <c r="E103" s="7" t="n"/>
    </row>
    <row r="104">
      <c r="A104" s="5" t="n">
        <v>19.6</v>
      </c>
      <c r="B104" s="6" t="n">
        <v>0.0171</v>
      </c>
      <c r="C104" s="7" t="n"/>
      <c r="D104" s="7" t="n"/>
      <c r="E104" s="7" t="n"/>
    </row>
    <row r="105">
      <c r="A105" s="5" t="n">
        <v>19.8</v>
      </c>
      <c r="B105" s="6" t="n">
        <v>0.0213</v>
      </c>
      <c r="C105" s="7" t="n"/>
      <c r="D105" s="7" t="n"/>
      <c r="E105" s="7" t="n"/>
    </row>
    <row r="106">
      <c r="A106" s="5" t="n">
        <v>20</v>
      </c>
      <c r="B106" s="6" t="n">
        <v>0.0187</v>
      </c>
      <c r="C106" s="7" t="n"/>
      <c r="D106" s="7" t="n"/>
      <c r="E106" s="7" t="n"/>
    </row>
    <row r="107">
      <c r="A107" s="5" t="n">
        <v>20.2</v>
      </c>
      <c r="B107" s="6" t="n">
        <v>0.0155</v>
      </c>
      <c r="C107" s="7" t="n"/>
      <c r="D107" s="7" t="n"/>
      <c r="E107" s="7" t="n"/>
    </row>
    <row r="108">
      <c r="A108" s="5" t="n">
        <v>20.4</v>
      </c>
      <c r="B108" s="6" t="n">
        <v>0.0153</v>
      </c>
      <c r="C108" s="7" t="n"/>
      <c r="D108" s="7" t="n"/>
      <c r="E108" s="7" t="n"/>
    </row>
    <row r="109">
      <c r="A109" s="5" t="n">
        <v>20.6</v>
      </c>
      <c r="B109" s="6" t="n">
        <v>0.0159</v>
      </c>
      <c r="C109" s="7" t="n"/>
      <c r="D109" s="7" t="n"/>
      <c r="E109" s="7" t="n"/>
    </row>
    <row r="110">
      <c r="A110" s="5" t="n">
        <v>20.8</v>
      </c>
      <c r="B110" s="6" t="n">
        <v>0.0144</v>
      </c>
      <c r="C110" s="7" t="n"/>
      <c r="D110" s="7" t="n"/>
      <c r="E110" s="7" t="n"/>
    </row>
    <row r="111">
      <c r="A111" s="5" t="n">
        <v>21</v>
      </c>
      <c r="B111" s="6" t="n">
        <v>0.0147</v>
      </c>
      <c r="C111" s="7" t="n"/>
      <c r="D111" s="7" t="n"/>
      <c r="E111" s="7" t="n"/>
    </row>
    <row r="112">
      <c r="A112" s="5" t="n">
        <v>21.2</v>
      </c>
      <c r="B112" s="6" t="n">
        <v>0.0115</v>
      </c>
      <c r="C112" s="7" t="n"/>
      <c r="D112" s="7" t="n"/>
      <c r="E112" s="7" t="n"/>
    </row>
    <row r="113">
      <c r="A113" s="5" t="n">
        <v>21.4</v>
      </c>
      <c r="B113" s="6" t="n">
        <v>0.0138</v>
      </c>
      <c r="C113" s="7" t="n"/>
      <c r="D113" s="7" t="n"/>
      <c r="E113" s="7" t="n"/>
    </row>
    <row r="114">
      <c r="A114" s="5" t="n">
        <v>21.6</v>
      </c>
      <c r="B114" s="6" t="n">
        <v>0.0115</v>
      </c>
      <c r="C114" s="7" t="n"/>
      <c r="D114" s="7" t="n"/>
      <c r="E114" s="7" t="n"/>
    </row>
    <row r="115">
      <c r="A115" s="5" t="n">
        <v>21.8</v>
      </c>
      <c r="B115" s="6" t="n">
        <v>0.011</v>
      </c>
      <c r="C115" s="7" t="n"/>
      <c r="D115" s="7" t="n"/>
      <c r="E115" s="7" t="n"/>
    </row>
    <row r="116">
      <c r="A116" s="5" t="n">
        <v>22</v>
      </c>
      <c r="B116" s="6" t="n">
        <v>0.0064</v>
      </c>
      <c r="C116" s="7" t="n"/>
      <c r="D116" s="7" t="n"/>
      <c r="E116" s="7" t="n"/>
    </row>
    <row r="117">
      <c r="A117" s="5" t="n">
        <v>22.2</v>
      </c>
      <c r="B117" s="6" t="n">
        <v>0.0123</v>
      </c>
      <c r="C117" s="7" t="n"/>
      <c r="D117" s="7" t="n"/>
      <c r="E117" s="7" t="n"/>
    </row>
    <row r="118">
      <c r="A118" s="5" t="n">
        <v>22.4</v>
      </c>
      <c r="B118" s="6" t="n">
        <v>0.0101</v>
      </c>
      <c r="C118" s="7" t="n"/>
      <c r="D118" s="7" t="n"/>
      <c r="E118" s="7" t="n"/>
    </row>
    <row r="119">
      <c r="A119" s="5" t="n">
        <v>22.6</v>
      </c>
      <c r="B119" s="6" t="n">
        <v>0.0092</v>
      </c>
      <c r="C119" s="7" t="n"/>
      <c r="D119" s="7" t="n"/>
      <c r="E119" s="7" t="n"/>
    </row>
    <row r="120">
      <c r="A120" s="5" t="n">
        <v>22.8</v>
      </c>
      <c r="B120" s="6" t="n">
        <v>0.007</v>
      </c>
      <c r="C120" s="7" t="n"/>
      <c r="D120" s="7" t="n"/>
      <c r="E120" s="7" t="n"/>
    </row>
    <row r="121">
      <c r="A121" s="5" t="n">
        <v>23</v>
      </c>
      <c r="B121" s="6" t="n">
        <v>0.0124</v>
      </c>
      <c r="C121" s="7" t="n"/>
      <c r="D121" s="7" t="n"/>
      <c r="E121" s="7" t="n"/>
    </row>
    <row r="122">
      <c r="A122" s="5" t="n">
        <v>23.2</v>
      </c>
      <c r="B122" s="6" t="n">
        <v>0.009299999999999999</v>
      </c>
      <c r="C122" s="7" t="n"/>
      <c r="D122" s="7" t="n"/>
      <c r="E122" s="7" t="n"/>
    </row>
    <row r="123">
      <c r="A123" s="5" t="n">
        <v>23.4</v>
      </c>
      <c r="B123" s="6" t="n">
        <v>0.0097</v>
      </c>
      <c r="C123" s="7" t="n"/>
      <c r="D123" s="7" t="n"/>
      <c r="E123" s="7" t="n"/>
    </row>
    <row r="124">
      <c r="A124" s="5" t="n">
        <v>23.6</v>
      </c>
      <c r="B124" s="6" t="n">
        <v>0.0041</v>
      </c>
      <c r="C124" s="7" t="n"/>
      <c r="D124" s="7" t="n"/>
      <c r="E124" s="7" t="n"/>
    </row>
    <row r="125">
      <c r="A125" s="5" t="n">
        <v>23.8</v>
      </c>
      <c r="B125" s="6" t="n">
        <v>0.0078</v>
      </c>
      <c r="C125" s="7" t="n"/>
      <c r="D125" s="7" t="n"/>
      <c r="E125" s="7" t="n"/>
    </row>
    <row r="126">
      <c r="A126" s="5" t="n">
        <v>24</v>
      </c>
      <c r="B126" s="6" t="n">
        <v>0.0058</v>
      </c>
      <c r="C126" s="7" t="n"/>
      <c r="D126" s="7" t="n"/>
      <c r="E126" s="7" t="n"/>
    </row>
    <row r="127">
      <c r="A127" s="5" t="n">
        <v>24.2</v>
      </c>
      <c r="B127" s="6" t="n">
        <v>0.0045</v>
      </c>
      <c r="C127" s="7" t="n"/>
      <c r="D127" s="7" t="n"/>
      <c r="E127" s="7" t="n"/>
    </row>
    <row r="128">
      <c r="A128" s="5" t="n">
        <v>24.4</v>
      </c>
      <c r="B128" s="6" t="n">
        <v>0.0069</v>
      </c>
      <c r="C128" s="7" t="n"/>
      <c r="D128" s="7" t="n"/>
      <c r="E128" s="7" t="n"/>
    </row>
    <row r="129">
      <c r="A129" s="5" t="n">
        <v>24.6</v>
      </c>
      <c r="B129" s="6" t="n">
        <v>0.0094</v>
      </c>
      <c r="C129" s="7" t="n"/>
      <c r="D129" s="7" t="n"/>
      <c r="E129" s="7" t="n"/>
    </row>
    <row r="130">
      <c r="A130" s="5" t="n">
        <v>24.8</v>
      </c>
      <c r="B130" s="6" t="n">
        <v>0.0072</v>
      </c>
      <c r="C130" s="7" t="n"/>
      <c r="D130" s="7" t="n"/>
      <c r="E130" s="7" t="n"/>
    </row>
    <row r="131">
      <c r="A131" s="5" t="n">
        <v>25</v>
      </c>
      <c r="B131" s="6" t="n">
        <v>0.0064</v>
      </c>
      <c r="C131" s="7" t="n"/>
      <c r="D131" s="7" t="n"/>
      <c r="E131" s="7" t="n"/>
    </row>
    <row r="132">
      <c r="A132" s="5" t="n">
        <v>25.2</v>
      </c>
      <c r="B132" s="6" t="n">
        <v>0.0043</v>
      </c>
      <c r="C132" s="7" t="n"/>
      <c r="D132" s="7" t="n"/>
      <c r="E132" s="7" t="n"/>
    </row>
    <row r="133">
      <c r="A133" s="5" t="n">
        <v>25.4</v>
      </c>
      <c r="B133" s="6" t="n">
        <v>0.0063</v>
      </c>
      <c r="C133" s="7" t="n"/>
      <c r="D133" s="7" t="n"/>
      <c r="E133" s="7" t="n"/>
    </row>
    <row r="134">
      <c r="A134" s="5" t="n">
        <v>25.6</v>
      </c>
      <c r="B134" s="6" t="n">
        <v>0.0045</v>
      </c>
      <c r="C134" s="7" t="n"/>
      <c r="D134" s="7" t="n"/>
      <c r="E134" s="7" t="n"/>
    </row>
    <row r="135">
      <c r="A135" s="5" t="n">
        <v>25.8</v>
      </c>
      <c r="B135" s="6" t="n">
        <v>0.0072</v>
      </c>
      <c r="C135" s="7" t="n"/>
      <c r="D135" s="7" t="n"/>
      <c r="E135" s="7" t="n"/>
    </row>
    <row r="136">
      <c r="A136" s="5" t="n">
        <v>26</v>
      </c>
      <c r="B136" s="6" t="n">
        <v>0</v>
      </c>
      <c r="C136" s="7" t="n"/>
      <c r="D136" s="7" t="n"/>
      <c r="E136" s="7" t="n"/>
    </row>
    <row r="137">
      <c r="A137" s="5" t="n">
        <v>26.2</v>
      </c>
      <c r="B137" s="6" t="n">
        <v>0.0052</v>
      </c>
      <c r="C137" s="7" t="n"/>
      <c r="D137" s="7" t="n"/>
      <c r="E137" s="7" t="n"/>
    </row>
    <row r="138">
      <c r="A138" s="5" t="n">
        <v>26.4</v>
      </c>
      <c r="B138" s="6" t="n">
        <v>0.0032</v>
      </c>
      <c r="C138" s="7" t="n"/>
      <c r="D138" s="7" t="n"/>
      <c r="E138" s="7" t="n"/>
    </row>
    <row r="139">
      <c r="A139" s="5" t="n">
        <v>26.6</v>
      </c>
      <c r="B139" s="6" t="n">
        <v>0.0057</v>
      </c>
      <c r="C139" s="7" t="n"/>
      <c r="D139" s="7" t="n"/>
      <c r="E139" s="7" t="n"/>
    </row>
    <row r="140">
      <c r="A140" s="5" t="n">
        <v>26.8</v>
      </c>
      <c r="B140" s="6" t="n">
        <v>0.0074</v>
      </c>
      <c r="C140" s="7" t="n"/>
      <c r="D140" s="7" t="n"/>
      <c r="E140" s="7" t="n"/>
    </row>
    <row r="141">
      <c r="A141" s="5" t="n">
        <v>27</v>
      </c>
      <c r="B141" s="6" t="n">
        <v>0.0066</v>
      </c>
      <c r="C141" s="7" t="n"/>
      <c r="D141" s="7" t="n"/>
      <c r="E141" s="7" t="n"/>
    </row>
    <row r="142">
      <c r="A142" s="5" t="n">
        <v>27.2</v>
      </c>
      <c r="B142" s="6" t="n">
        <v>0.0022</v>
      </c>
      <c r="C142" s="7" t="n"/>
      <c r="D142" s="7" t="n"/>
      <c r="E142" s="7" t="n"/>
    </row>
    <row r="143">
      <c r="A143" s="5" t="n">
        <v>27.4</v>
      </c>
      <c r="B143" s="6" t="n">
        <v>0.0014</v>
      </c>
      <c r="C143" s="7" t="n"/>
      <c r="D143" s="7" t="n"/>
      <c r="E143" s="7" t="n"/>
    </row>
    <row r="144">
      <c r="A144" s="5" t="n">
        <v>27.6</v>
      </c>
      <c r="B144" s="6" t="n">
        <v>0.0039</v>
      </c>
      <c r="C144" s="7" t="n"/>
      <c r="D144" s="7" t="n"/>
      <c r="E144" s="7" t="n"/>
    </row>
    <row r="145">
      <c r="A145" s="5" t="n">
        <v>27.8</v>
      </c>
      <c r="B145" s="6" t="n">
        <v>0.0035</v>
      </c>
      <c r="C145" s="7" t="n"/>
      <c r="D145" s="7" t="n"/>
      <c r="E145" s="7" t="n"/>
    </row>
    <row r="146">
      <c r="A146" s="5" t="n">
        <v>28</v>
      </c>
      <c r="B146" s="6" t="n">
        <v>0.0016</v>
      </c>
      <c r="C146" s="7" t="n"/>
      <c r="D146" s="7" t="n"/>
      <c r="E146" s="7" t="n"/>
    </row>
    <row r="147">
      <c r="A147" s="5" t="n">
        <v>28.2</v>
      </c>
      <c r="B147" s="6" t="n">
        <v>0.0016</v>
      </c>
      <c r="C147" s="7" t="n"/>
      <c r="D147" s="7" t="n"/>
      <c r="E147" s="7" t="n"/>
    </row>
    <row r="148">
      <c r="A148" s="5" t="n">
        <v>28.4</v>
      </c>
      <c r="B148" s="6" t="n">
        <v>0.0015</v>
      </c>
      <c r="C148" s="7" t="n"/>
      <c r="D148" s="7" t="n"/>
      <c r="E148" s="7" t="n"/>
    </row>
    <row r="149">
      <c r="A149" s="5" t="n">
        <v>28.6</v>
      </c>
      <c r="B149" s="6" t="n">
        <v>0.0058</v>
      </c>
      <c r="C149" s="7" t="n"/>
      <c r="D149" s="7" t="n"/>
      <c r="E149" s="7" t="n"/>
    </row>
    <row r="150">
      <c r="A150" s="5" t="n">
        <v>28.8</v>
      </c>
      <c r="B150" s="6" t="n">
        <v>0.0045</v>
      </c>
      <c r="C150" s="7" t="n"/>
      <c r="D150" s="7" t="n"/>
      <c r="E150" s="7" t="n"/>
    </row>
    <row r="151">
      <c r="A151" s="5" t="n">
        <v>29</v>
      </c>
      <c r="B151" s="6" t="n">
        <v>0.005</v>
      </c>
      <c r="C151" s="7" t="n"/>
      <c r="D151" s="7" t="n"/>
      <c r="E151" s="7" t="n"/>
    </row>
    <row r="152">
      <c r="A152" s="5" t="n">
        <v>29.2</v>
      </c>
      <c r="B152" s="6" t="n">
        <v>0.004</v>
      </c>
      <c r="C152" s="7" t="n"/>
      <c r="D152" s="7" t="n"/>
      <c r="E152" s="7" t="n"/>
    </row>
    <row r="153">
      <c r="A153" s="5" t="n">
        <v>29.4</v>
      </c>
      <c r="B153" s="6" t="n">
        <v>0.0017</v>
      </c>
      <c r="C153" s="7" t="n"/>
      <c r="D153" s="7" t="n"/>
      <c r="E153" s="7" t="n"/>
    </row>
    <row r="154">
      <c r="A154" s="5" t="n">
        <v>29.6</v>
      </c>
      <c r="B154" s="6" t="n">
        <v>0.003</v>
      </c>
      <c r="C154" s="7" t="n"/>
      <c r="D154" s="7" t="n"/>
      <c r="E154" s="7" t="n"/>
    </row>
    <row r="155">
      <c r="A155" s="5" t="n">
        <v>29.8</v>
      </c>
      <c r="B155" s="6" t="n">
        <v>0.0019</v>
      </c>
      <c r="C155" s="7" t="n"/>
      <c r="D155" s="7" t="n"/>
      <c r="E155" s="7" t="n"/>
    </row>
    <row r="156">
      <c r="A156" s="5" t="n">
        <v>30</v>
      </c>
      <c r="B156" s="6" t="n">
        <v>0.0025</v>
      </c>
      <c r="C156" s="7" t="n"/>
      <c r="D156" s="7" t="n"/>
      <c r="E156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1" customWidth="1" min="5" max="5"/>
    <col width="30" customWidth="1" min="7" max="7"/>
    <col width="16" customWidth="1" min="8" max="8"/>
    <col width="28" customWidth="1" min="9" max="9"/>
  </cols>
  <sheetData>
    <row r="1">
      <c r="A1" s="1" t="inlineStr">
        <is>
          <t>HCI Q2(b) – Engineer's charging data (practice dataset)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t / s</t>
        </is>
      </c>
      <c r="B5" s="4" t="inlineStr">
        <is>
          <t>I / mA</t>
        </is>
      </c>
      <c r="C5" s="4" t="inlineStr">
        <is>
          <t>t − t₀ / s</t>
        </is>
      </c>
      <c r="D5" s="4" t="inlineStr">
        <is>
          <t>ln(I / mA)</t>
        </is>
      </c>
      <c r="E5" s="4" t="inlineStr">
        <is>
          <t>strip area / mA s</t>
        </is>
      </c>
      <c r="G5" s="4" t="inlineStr">
        <is>
          <t>Result</t>
        </is>
      </c>
      <c r="H5" s="4" t="inlineStr">
        <is>
          <t>Value</t>
        </is>
      </c>
      <c r="I5" s="4" t="inlineStr">
        <is>
          <t>Unit / note</t>
        </is>
      </c>
    </row>
    <row r="6">
      <c r="A6" s="5" t="n">
        <v>0</v>
      </c>
      <c r="B6" s="6" t="n">
        <v>0.0001</v>
      </c>
      <c r="C6" s="8">
        <f>IF(A6&gt;=1.6,A6-1.6,"")</f>
        <v/>
      </c>
      <c r="D6" s="8">
        <f>IF(AND(A6&gt;=1.6,B6&gt;0.02),LN(B6),"")</f>
        <v/>
      </c>
      <c r="E6" s="8">
        <f>IF(AND(A6&gt;=1.6,A7&lt;&gt;""),0.5*(B6+B7)*0.2,"")</f>
        <v/>
      </c>
      <c r="G6" s="9" t="inlineStr">
        <is>
          <t>t₀ (time of the jump to peak current)</t>
        </is>
      </c>
      <c r="H6" s="8" t="n">
        <v>1.6</v>
      </c>
      <c r="I6" s="9" t="inlineStr">
        <is>
          <t>s</t>
        </is>
      </c>
    </row>
    <row r="7">
      <c r="A7" s="5" t="n">
        <v>0.2</v>
      </c>
      <c r="B7" s="6" t="n">
        <v>0.0004</v>
      </c>
      <c r="C7" s="8">
        <f>IF(A7&gt;=1.6,A7-1.6,"")</f>
        <v/>
      </c>
      <c r="D7" s="8">
        <f>IF(AND(A7&gt;=1.6,B7&gt;0.02),LN(B7),"")</f>
        <v/>
      </c>
      <c r="E7" s="8">
        <f>IF(AND(A7&gt;=1.6,A8&lt;&gt;""),0.5*(B7+B8)*0.2,"")</f>
        <v/>
      </c>
      <c r="G7" s="9" t="inlineStr">
        <is>
          <t>I₀ (reading at t₀)</t>
        </is>
      </c>
      <c r="H7" s="8" t="n">
        <v>0.9036</v>
      </c>
      <c r="I7" s="9" t="inlineStr">
        <is>
          <t>mA</t>
        </is>
      </c>
    </row>
    <row r="8">
      <c r="A8" s="5" t="n">
        <v>0.4</v>
      </c>
      <c r="B8" s="6" t="n">
        <v>0.0007</v>
      </c>
      <c r="C8" s="8">
        <f>IF(A8&gt;=1.6,A8-1.6,"")</f>
        <v/>
      </c>
      <c r="D8" s="8">
        <f>IF(AND(A8&gt;=1.6,B8&gt;0.02),LN(B8),"")</f>
        <v/>
      </c>
      <c r="E8" s="8">
        <f>IF(AND(A8&gt;=1.6,A9&lt;&gt;""),0.5*(B8+B9)*0.2,"")</f>
        <v/>
      </c>
      <c r="G8" s="9" t="inlineStr">
        <is>
          <t>Q = Σ strips</t>
        </is>
      </c>
      <c r="H8" s="8">
        <f>SUM(E6:E156)/1000</f>
        <v/>
      </c>
      <c r="I8" s="9" t="inlineStr">
        <is>
          <t>C</t>
        </is>
      </c>
    </row>
    <row r="9">
      <c r="A9" s="5" t="n">
        <v>0.6</v>
      </c>
      <c r="B9" s="6" t="n">
        <v>0.0005999999999999999</v>
      </c>
      <c r="C9" s="8">
        <f>IF(A9&gt;=1.6,A9-1.6,"")</f>
        <v/>
      </c>
      <c r="D9" s="8">
        <f>IF(AND(A9&gt;=1.6,B9&gt;0.02),LN(B9),"")</f>
        <v/>
      </c>
      <c r="E9" s="8">
        <f>IF(AND(A9&gt;=1.6,A10&lt;&gt;""),0.5*(B9+B10)*0.2,"")</f>
        <v/>
      </c>
      <c r="G9" s="9" t="inlineStr">
        <is>
          <t>gradient of ln I graph</t>
        </is>
      </c>
      <c r="H9" s="8">
        <f>SLOPE(D6:D156,C6:C156)</f>
        <v/>
      </c>
      <c r="I9" s="9" t="inlineStr">
        <is>
          <t>s⁻¹</t>
        </is>
      </c>
    </row>
    <row r="10">
      <c r="A10" s="5" t="n">
        <v>0.8</v>
      </c>
      <c r="B10" s="6" t="n">
        <v>0.0008</v>
      </c>
      <c r="C10" s="8">
        <f>IF(A10&gt;=1.6,A10-1.6,"")</f>
        <v/>
      </c>
      <c r="D10" s="8">
        <f>IF(AND(A10&gt;=1.6,B10&gt;0.02),LN(B10),"")</f>
        <v/>
      </c>
      <c r="E10" s="8">
        <f>IF(AND(A10&gt;=1.6,A11&lt;&gt;""),0.5*(B10+B11)*0.2,"")</f>
        <v/>
      </c>
      <c r="G10" s="9" t="inlineStr">
        <is>
          <t>τ = −1/gradient</t>
        </is>
      </c>
      <c r="H10" s="8">
        <f>-1/SLOPE(D6:D156,C6:C156)</f>
        <v/>
      </c>
      <c r="I10" s="9" t="inlineStr">
        <is>
          <t>s</t>
        </is>
      </c>
    </row>
    <row r="11">
      <c r="A11" s="5" t="n">
        <v>1</v>
      </c>
      <c r="B11" s="6" t="n">
        <v>0</v>
      </c>
      <c r="C11" s="8">
        <f>IF(A11&gt;=1.6,A11-1.6,"")</f>
        <v/>
      </c>
      <c r="D11" s="8">
        <f>IF(AND(A11&gt;=1.6,B11&gt;0.02),LN(B11),"")</f>
        <v/>
      </c>
      <c r="E11" s="8">
        <f>IF(AND(A11&gt;=1.6,A12&lt;&gt;""),0.5*(B11+B12)*0.2,"")</f>
        <v/>
      </c>
    </row>
    <row r="12">
      <c r="A12" s="5" t="n">
        <v>1.2</v>
      </c>
      <c r="B12" s="6" t="n">
        <v>0.0004</v>
      </c>
      <c r="C12" s="8">
        <f>IF(A12&gt;=1.6,A12-1.6,"")</f>
        <v/>
      </c>
      <c r="D12" s="8">
        <f>IF(AND(A12&gt;=1.6,B12&gt;0.02),LN(B12),"")</f>
        <v/>
      </c>
      <c r="E12" s="8">
        <f>IF(AND(A12&gt;=1.6,A13&lt;&gt;""),0.5*(B12+B13)*0.2,"")</f>
        <v/>
      </c>
      <c r="G12" s="10" t="inlineStr">
        <is>
          <t>Strip area uses the trapezium rule between consecutive readings (Δt = 0.2 s).</t>
        </is>
      </c>
    </row>
    <row r="13">
      <c r="A13" s="5" t="n">
        <v>1.4</v>
      </c>
      <c r="B13" s="6" t="n">
        <v>0.001</v>
      </c>
      <c r="C13" s="8">
        <f>IF(A13&gt;=1.6,A13-1.6,"")</f>
        <v/>
      </c>
      <c r="D13" s="8">
        <f>IF(AND(A13&gt;=1.6,B13&gt;0.02),LN(B13),"")</f>
        <v/>
      </c>
      <c r="E13" s="8">
        <f>IF(AND(A13&gt;=1.6,A14&lt;&gt;""),0.5*(B13+B14)*0.2,"")</f>
        <v/>
      </c>
    </row>
    <row r="14">
      <c r="A14" s="5" t="n">
        <v>1.6</v>
      </c>
      <c r="B14" s="6" t="n">
        <v>0.9036</v>
      </c>
      <c r="C14" s="8">
        <f>IF(A14&gt;=1.6,A14-1.6,"")</f>
        <v/>
      </c>
      <c r="D14" s="8">
        <f>IF(AND(A14&gt;=1.6,B14&gt;0.02),LN(B14),"")</f>
        <v/>
      </c>
      <c r="E14" s="8">
        <f>IF(AND(A14&gt;=1.6,A15&lt;&gt;""),0.5*(B14+B15)*0.2,"")</f>
        <v/>
      </c>
    </row>
    <row r="15">
      <c r="A15" s="5" t="n">
        <v>1.8</v>
      </c>
      <c r="B15" s="6" t="n">
        <v>0.8657</v>
      </c>
      <c r="C15" s="8">
        <f>IF(A15&gt;=1.6,A15-1.6,"")</f>
        <v/>
      </c>
      <c r="D15" s="8">
        <f>IF(AND(A15&gt;=1.6,B15&gt;0.02),LN(B15),"")</f>
        <v/>
      </c>
      <c r="E15" s="8">
        <f>IF(AND(A15&gt;=1.6,A16&lt;&gt;""),0.5*(B15+B16)*0.2,"")</f>
        <v/>
      </c>
    </row>
    <row r="16">
      <c r="A16" s="5" t="n">
        <v>2</v>
      </c>
      <c r="B16" s="6" t="n">
        <v>0.8288</v>
      </c>
      <c r="C16" s="8">
        <f>IF(A16&gt;=1.6,A16-1.6,"")</f>
        <v/>
      </c>
      <c r="D16" s="8">
        <f>IF(AND(A16&gt;=1.6,B16&gt;0.02),LN(B16),"")</f>
        <v/>
      </c>
      <c r="E16" s="8">
        <f>IF(AND(A16&gt;=1.6,A17&lt;&gt;""),0.5*(B16+B17)*0.2,"")</f>
        <v/>
      </c>
    </row>
    <row r="17">
      <c r="A17" s="5" t="n">
        <v>2.2</v>
      </c>
      <c r="B17" s="6" t="n">
        <v>0.7944</v>
      </c>
      <c r="C17" s="8">
        <f>IF(A17&gt;=1.6,A17-1.6,"")</f>
        <v/>
      </c>
      <c r="D17" s="8">
        <f>IF(AND(A17&gt;=1.6,B17&gt;0.02),LN(B17),"")</f>
        <v/>
      </c>
      <c r="E17" s="8">
        <f>IF(AND(A17&gt;=1.6,A18&lt;&gt;""),0.5*(B17+B18)*0.2,"")</f>
        <v/>
      </c>
    </row>
    <row r="18">
      <c r="A18" s="5" t="n">
        <v>2.4</v>
      </c>
      <c r="B18" s="6" t="n">
        <v>0.759</v>
      </c>
      <c r="C18" s="8">
        <f>IF(A18&gt;=1.6,A18-1.6,"")</f>
        <v/>
      </c>
      <c r="D18" s="8">
        <f>IF(AND(A18&gt;=1.6,B18&gt;0.02),LN(B18),"")</f>
        <v/>
      </c>
      <c r="E18" s="8">
        <f>IF(AND(A18&gt;=1.6,A19&lt;&gt;""),0.5*(B18+B19)*0.2,"")</f>
        <v/>
      </c>
    </row>
    <row r="19">
      <c r="A19" s="5" t="n">
        <v>2.6</v>
      </c>
      <c r="B19" s="6" t="n">
        <v>0.7279</v>
      </c>
      <c r="C19" s="8">
        <f>IF(A19&gt;=1.6,A19-1.6,"")</f>
        <v/>
      </c>
      <c r="D19" s="8">
        <f>IF(AND(A19&gt;=1.6,B19&gt;0.02),LN(B19),"")</f>
        <v/>
      </c>
      <c r="E19" s="8">
        <f>IF(AND(A19&gt;=1.6,A20&lt;&gt;""),0.5*(B19+B20)*0.2,"")</f>
        <v/>
      </c>
    </row>
    <row r="20">
      <c r="A20" s="5" t="n">
        <v>2.8</v>
      </c>
      <c r="B20" s="6" t="n">
        <v>0.7003</v>
      </c>
      <c r="C20" s="8">
        <f>IF(A20&gt;=1.6,A20-1.6,"")</f>
        <v/>
      </c>
      <c r="D20" s="8">
        <f>IF(AND(A20&gt;=1.6,B20&gt;0.02),LN(B20),"")</f>
        <v/>
      </c>
      <c r="E20" s="8">
        <f>IF(AND(A20&gt;=1.6,A21&lt;&gt;""),0.5*(B20+B21)*0.2,"")</f>
        <v/>
      </c>
    </row>
    <row r="21">
      <c r="A21" s="5" t="n">
        <v>3</v>
      </c>
      <c r="B21" s="6" t="n">
        <v>0.6686</v>
      </c>
      <c r="C21" s="8">
        <f>IF(A21&gt;=1.6,A21-1.6,"")</f>
        <v/>
      </c>
      <c r="D21" s="8">
        <f>IF(AND(A21&gt;=1.6,B21&gt;0.02),LN(B21),"")</f>
        <v/>
      </c>
      <c r="E21" s="8">
        <f>IF(AND(A21&gt;=1.6,A22&lt;&gt;""),0.5*(B21+B22)*0.2,"")</f>
        <v/>
      </c>
    </row>
    <row r="22">
      <c r="A22" s="5" t="n">
        <v>3.2</v>
      </c>
      <c r="B22" s="6" t="n">
        <v>0.6398</v>
      </c>
      <c r="C22" s="8">
        <f>IF(A22&gt;=1.6,A22-1.6,"")</f>
        <v/>
      </c>
      <c r="D22" s="8">
        <f>IF(AND(A22&gt;=1.6,B22&gt;0.02),LN(B22),"")</f>
        <v/>
      </c>
      <c r="E22" s="8">
        <f>IF(AND(A22&gt;=1.6,A23&lt;&gt;""),0.5*(B22+B23)*0.2,"")</f>
        <v/>
      </c>
    </row>
    <row r="23">
      <c r="A23" s="5" t="n">
        <v>3.4</v>
      </c>
      <c r="B23" s="6" t="n">
        <v>0.6105</v>
      </c>
      <c r="C23" s="8">
        <f>IF(A23&gt;=1.6,A23-1.6,"")</f>
        <v/>
      </c>
      <c r="D23" s="8">
        <f>IF(AND(A23&gt;=1.6,B23&gt;0.02),LN(B23),"")</f>
        <v/>
      </c>
      <c r="E23" s="8">
        <f>IF(AND(A23&gt;=1.6,A24&lt;&gt;""),0.5*(B23+B24)*0.2,"")</f>
        <v/>
      </c>
    </row>
    <row r="24">
      <c r="A24" s="5" t="n">
        <v>3.6</v>
      </c>
      <c r="B24" s="6" t="n">
        <v>0.5897</v>
      </c>
      <c r="C24" s="8">
        <f>IF(A24&gt;=1.6,A24-1.6,"")</f>
        <v/>
      </c>
      <c r="D24" s="8">
        <f>IF(AND(A24&gt;=1.6,B24&gt;0.02),LN(B24),"")</f>
        <v/>
      </c>
      <c r="E24" s="8">
        <f>IF(AND(A24&gt;=1.6,A25&lt;&gt;""),0.5*(B24+B25)*0.2,"")</f>
        <v/>
      </c>
    </row>
    <row r="25">
      <c r="A25" s="5" t="n">
        <v>3.8</v>
      </c>
      <c r="B25" s="6" t="n">
        <v>0.5620000000000001</v>
      </c>
      <c r="C25" s="8">
        <f>IF(A25&gt;=1.6,A25-1.6,"")</f>
        <v/>
      </c>
      <c r="D25" s="8">
        <f>IF(AND(A25&gt;=1.6,B25&gt;0.02),LN(B25),"")</f>
        <v/>
      </c>
      <c r="E25" s="8">
        <f>IF(AND(A25&gt;=1.6,A26&lt;&gt;""),0.5*(B25+B26)*0.2,"")</f>
        <v/>
      </c>
    </row>
    <row r="26">
      <c r="A26" s="5" t="n">
        <v>4</v>
      </c>
      <c r="B26" s="6" t="n">
        <v>0.5414</v>
      </c>
      <c r="C26" s="8">
        <f>IF(A26&gt;=1.6,A26-1.6,"")</f>
        <v/>
      </c>
      <c r="D26" s="8">
        <f>IF(AND(A26&gt;=1.6,B26&gt;0.02),LN(B26),"")</f>
        <v/>
      </c>
      <c r="E26" s="8">
        <f>IF(AND(A26&gt;=1.6,A27&lt;&gt;""),0.5*(B26+B27)*0.2,"")</f>
        <v/>
      </c>
    </row>
    <row r="27">
      <c r="A27" s="5" t="n">
        <v>4.2</v>
      </c>
      <c r="B27" s="6" t="n">
        <v>0.5175999999999999</v>
      </c>
      <c r="C27" s="8">
        <f>IF(A27&gt;=1.6,A27-1.6,"")</f>
        <v/>
      </c>
      <c r="D27" s="8">
        <f>IF(AND(A27&gt;=1.6,B27&gt;0.02),LN(B27),"")</f>
        <v/>
      </c>
      <c r="E27" s="8">
        <f>IF(AND(A27&gt;=1.6,A28&lt;&gt;""),0.5*(B27+B28)*0.2,"")</f>
        <v/>
      </c>
    </row>
    <row r="28">
      <c r="A28" s="5" t="n">
        <v>4.4</v>
      </c>
      <c r="B28" s="6" t="n">
        <v>0.4959</v>
      </c>
      <c r="C28" s="8">
        <f>IF(A28&gt;=1.6,A28-1.6,"")</f>
        <v/>
      </c>
      <c r="D28" s="8">
        <f>IF(AND(A28&gt;=1.6,B28&gt;0.02),LN(B28),"")</f>
        <v/>
      </c>
      <c r="E28" s="8">
        <f>IF(AND(A28&gt;=1.6,A29&lt;&gt;""),0.5*(B28+B29)*0.2,"")</f>
        <v/>
      </c>
    </row>
    <row r="29">
      <c r="A29" s="5" t="n">
        <v>4.6</v>
      </c>
      <c r="B29" s="6" t="n">
        <v>0.4736</v>
      </c>
      <c r="C29" s="8">
        <f>IF(A29&gt;=1.6,A29-1.6,"")</f>
        <v/>
      </c>
      <c r="D29" s="8">
        <f>IF(AND(A29&gt;=1.6,B29&gt;0.02),LN(B29),"")</f>
        <v/>
      </c>
      <c r="E29" s="8">
        <f>IF(AND(A29&gt;=1.6,A30&lt;&gt;""),0.5*(B29+B30)*0.2,"")</f>
        <v/>
      </c>
    </row>
    <row r="30">
      <c r="A30" s="5" t="n">
        <v>4.8</v>
      </c>
      <c r="B30" s="6" t="n">
        <v>0.4581</v>
      </c>
      <c r="C30" s="8">
        <f>IF(A30&gt;=1.6,A30-1.6,"")</f>
        <v/>
      </c>
      <c r="D30" s="8">
        <f>IF(AND(A30&gt;=1.6,B30&gt;0.02),LN(B30),"")</f>
        <v/>
      </c>
      <c r="E30" s="8">
        <f>IF(AND(A30&gt;=1.6,A31&lt;&gt;""),0.5*(B30+B31)*0.2,"")</f>
        <v/>
      </c>
    </row>
    <row r="31">
      <c r="A31" s="5" t="n">
        <v>5</v>
      </c>
      <c r="B31" s="6" t="n">
        <v>0.4399</v>
      </c>
      <c r="C31" s="8">
        <f>IF(A31&gt;=1.6,A31-1.6,"")</f>
        <v/>
      </c>
      <c r="D31" s="8">
        <f>IF(AND(A31&gt;=1.6,B31&gt;0.02),LN(B31),"")</f>
        <v/>
      </c>
      <c r="E31" s="8">
        <f>IF(AND(A31&gt;=1.6,A32&lt;&gt;""),0.5*(B31+B32)*0.2,"")</f>
        <v/>
      </c>
    </row>
    <row r="32">
      <c r="A32" s="5" t="n">
        <v>5.2</v>
      </c>
      <c r="B32" s="6" t="n">
        <v>0.4173</v>
      </c>
      <c r="C32" s="8">
        <f>IF(A32&gt;=1.6,A32-1.6,"")</f>
        <v/>
      </c>
      <c r="D32" s="8">
        <f>IF(AND(A32&gt;=1.6,B32&gt;0.02),LN(B32),"")</f>
        <v/>
      </c>
      <c r="E32" s="8">
        <f>IF(AND(A32&gt;=1.6,A33&lt;&gt;""),0.5*(B32+B33)*0.2,"")</f>
        <v/>
      </c>
    </row>
    <row r="33">
      <c r="A33" s="5" t="n">
        <v>5.4</v>
      </c>
      <c r="B33" s="6" t="n">
        <v>0.3996</v>
      </c>
      <c r="C33" s="8">
        <f>IF(A33&gt;=1.6,A33-1.6,"")</f>
        <v/>
      </c>
      <c r="D33" s="8">
        <f>IF(AND(A33&gt;=1.6,B33&gt;0.02),LN(B33),"")</f>
        <v/>
      </c>
      <c r="E33" s="8">
        <f>IF(AND(A33&gt;=1.6,A34&lt;&gt;""),0.5*(B33+B34)*0.2,"")</f>
        <v/>
      </c>
    </row>
    <row r="34">
      <c r="A34" s="5" t="n">
        <v>5.6</v>
      </c>
      <c r="B34" s="6" t="n">
        <v>0.3821</v>
      </c>
      <c r="C34" s="8">
        <f>IF(A34&gt;=1.6,A34-1.6,"")</f>
        <v/>
      </c>
      <c r="D34" s="8">
        <f>IF(AND(A34&gt;=1.6,B34&gt;0.02),LN(B34),"")</f>
        <v/>
      </c>
      <c r="E34" s="8">
        <f>IF(AND(A34&gt;=1.6,A35&lt;&gt;""),0.5*(B34+B35)*0.2,"")</f>
        <v/>
      </c>
    </row>
    <row r="35">
      <c r="A35" s="5" t="n">
        <v>5.8</v>
      </c>
      <c r="B35" s="6" t="n">
        <v>0.3691</v>
      </c>
      <c r="C35" s="8">
        <f>IF(A35&gt;=1.6,A35-1.6,"")</f>
        <v/>
      </c>
      <c r="D35" s="8">
        <f>IF(AND(A35&gt;=1.6,B35&gt;0.02),LN(B35),"")</f>
        <v/>
      </c>
      <c r="E35" s="8">
        <f>IF(AND(A35&gt;=1.6,A36&lt;&gt;""),0.5*(B35+B36)*0.2,"")</f>
        <v/>
      </c>
    </row>
    <row r="36">
      <c r="A36" s="5" t="n">
        <v>6</v>
      </c>
      <c r="B36" s="6" t="n">
        <v>0.355</v>
      </c>
      <c r="C36" s="8">
        <f>IF(A36&gt;=1.6,A36-1.6,"")</f>
        <v/>
      </c>
      <c r="D36" s="8">
        <f>IF(AND(A36&gt;=1.6,B36&gt;0.02),LN(B36),"")</f>
        <v/>
      </c>
      <c r="E36" s="8">
        <f>IF(AND(A36&gt;=1.6,A37&lt;&gt;""),0.5*(B36+B37)*0.2,"")</f>
        <v/>
      </c>
    </row>
    <row r="37">
      <c r="A37" s="5" t="n">
        <v>6.2</v>
      </c>
      <c r="B37" s="6" t="n">
        <v>0.3391</v>
      </c>
      <c r="C37" s="8">
        <f>IF(A37&gt;=1.6,A37-1.6,"")</f>
        <v/>
      </c>
      <c r="D37" s="8">
        <f>IF(AND(A37&gt;=1.6,B37&gt;0.02),LN(B37),"")</f>
        <v/>
      </c>
      <c r="E37" s="8">
        <f>IF(AND(A37&gt;=1.6,A38&lt;&gt;""),0.5*(B37+B38)*0.2,"")</f>
        <v/>
      </c>
    </row>
    <row r="38">
      <c r="A38" s="5" t="n">
        <v>6.4</v>
      </c>
      <c r="B38" s="6" t="n">
        <v>0.329</v>
      </c>
      <c r="C38" s="8">
        <f>IF(A38&gt;=1.6,A38-1.6,"")</f>
        <v/>
      </c>
      <c r="D38" s="8">
        <f>IF(AND(A38&gt;=1.6,B38&gt;0.02),LN(B38),"")</f>
        <v/>
      </c>
      <c r="E38" s="8">
        <f>IF(AND(A38&gt;=1.6,A39&lt;&gt;""),0.5*(B38+B39)*0.2,"")</f>
        <v/>
      </c>
    </row>
    <row r="39">
      <c r="A39" s="5" t="n">
        <v>6.6</v>
      </c>
      <c r="B39" s="6" t="n">
        <v>0.314</v>
      </c>
      <c r="C39" s="8">
        <f>IF(A39&gt;=1.6,A39-1.6,"")</f>
        <v/>
      </c>
      <c r="D39" s="8">
        <f>IF(AND(A39&gt;=1.6,B39&gt;0.02),LN(B39),"")</f>
        <v/>
      </c>
      <c r="E39" s="8">
        <f>IF(AND(A39&gt;=1.6,A40&lt;&gt;""),0.5*(B39+B40)*0.2,"")</f>
        <v/>
      </c>
    </row>
    <row r="40">
      <c r="A40" s="5" t="n">
        <v>6.8</v>
      </c>
      <c r="B40" s="6" t="n">
        <v>0.3</v>
      </c>
      <c r="C40" s="8">
        <f>IF(A40&gt;=1.6,A40-1.6,"")</f>
        <v/>
      </c>
      <c r="D40" s="8">
        <f>IF(AND(A40&gt;=1.6,B40&gt;0.02),LN(B40),"")</f>
        <v/>
      </c>
      <c r="E40" s="8">
        <f>IF(AND(A40&gt;=1.6,A41&lt;&gt;""),0.5*(B40+B41)*0.2,"")</f>
        <v/>
      </c>
    </row>
    <row r="41">
      <c r="A41" s="5" t="n">
        <v>7</v>
      </c>
      <c r="B41" s="6" t="n">
        <v>0.2814</v>
      </c>
      <c r="C41" s="8">
        <f>IF(A41&gt;=1.6,A41-1.6,"")</f>
        <v/>
      </c>
      <c r="D41" s="8">
        <f>IF(AND(A41&gt;=1.6,B41&gt;0.02),LN(B41),"")</f>
        <v/>
      </c>
      <c r="E41" s="8">
        <f>IF(AND(A41&gt;=1.6,A42&lt;&gt;""),0.5*(B41+B42)*0.2,"")</f>
        <v/>
      </c>
    </row>
    <row r="42">
      <c r="A42" s="5" t="n">
        <v>7.2</v>
      </c>
      <c r="B42" s="6" t="n">
        <v>0.2718</v>
      </c>
      <c r="C42" s="8">
        <f>IF(A42&gt;=1.6,A42-1.6,"")</f>
        <v/>
      </c>
      <c r="D42" s="8">
        <f>IF(AND(A42&gt;=1.6,B42&gt;0.02),LN(B42),"")</f>
        <v/>
      </c>
      <c r="E42" s="8">
        <f>IF(AND(A42&gt;=1.6,A43&lt;&gt;""),0.5*(B42+B43)*0.2,"")</f>
        <v/>
      </c>
    </row>
    <row r="43">
      <c r="A43" s="5" t="n">
        <v>7.4</v>
      </c>
      <c r="B43" s="6" t="n">
        <v>0.263</v>
      </c>
      <c r="C43" s="8">
        <f>IF(A43&gt;=1.6,A43-1.6,"")</f>
        <v/>
      </c>
      <c r="D43" s="8">
        <f>IF(AND(A43&gt;=1.6,B43&gt;0.02),LN(B43),"")</f>
        <v/>
      </c>
      <c r="E43" s="8">
        <f>IF(AND(A43&gt;=1.6,A44&lt;&gt;""),0.5*(B43+B44)*0.2,"")</f>
        <v/>
      </c>
    </row>
    <row r="44">
      <c r="A44" s="5" t="n">
        <v>7.6</v>
      </c>
      <c r="B44" s="6" t="n">
        <v>0.2491</v>
      </c>
      <c r="C44" s="8">
        <f>IF(A44&gt;=1.6,A44-1.6,"")</f>
        <v/>
      </c>
      <c r="D44" s="8">
        <f>IF(AND(A44&gt;=1.6,B44&gt;0.02),LN(B44),"")</f>
        <v/>
      </c>
      <c r="E44" s="8">
        <f>IF(AND(A44&gt;=1.6,A45&lt;&gt;""),0.5*(B44+B45)*0.2,"")</f>
        <v/>
      </c>
    </row>
    <row r="45">
      <c r="A45" s="5" t="n">
        <v>7.8</v>
      </c>
      <c r="B45" s="6" t="n">
        <v>0.2416</v>
      </c>
      <c r="C45" s="8">
        <f>IF(A45&gt;=1.6,A45-1.6,"")</f>
        <v/>
      </c>
      <c r="D45" s="8">
        <f>IF(AND(A45&gt;=1.6,B45&gt;0.02),LN(B45),"")</f>
        <v/>
      </c>
      <c r="E45" s="8">
        <f>IF(AND(A45&gt;=1.6,A46&lt;&gt;""),0.5*(B45+B46)*0.2,"")</f>
        <v/>
      </c>
    </row>
    <row r="46">
      <c r="A46" s="5" t="n">
        <v>8</v>
      </c>
      <c r="B46" s="6" t="n">
        <v>0.2334</v>
      </c>
      <c r="C46" s="8">
        <f>IF(A46&gt;=1.6,A46-1.6,"")</f>
        <v/>
      </c>
      <c r="D46" s="8">
        <f>IF(AND(A46&gt;=1.6,B46&gt;0.02),LN(B46),"")</f>
        <v/>
      </c>
      <c r="E46" s="8">
        <f>IF(AND(A46&gt;=1.6,A47&lt;&gt;""),0.5*(B46+B47)*0.2,"")</f>
        <v/>
      </c>
    </row>
    <row r="47">
      <c r="A47" s="5" t="n">
        <v>8.199999999999999</v>
      </c>
      <c r="B47" s="6" t="n">
        <v>0.2189</v>
      </c>
      <c r="C47" s="8">
        <f>IF(A47&gt;=1.6,A47-1.6,"")</f>
        <v/>
      </c>
      <c r="D47" s="8">
        <f>IF(AND(A47&gt;=1.6,B47&gt;0.02),LN(B47),"")</f>
        <v/>
      </c>
      <c r="E47" s="8">
        <f>IF(AND(A47&gt;=1.6,A48&lt;&gt;""),0.5*(B47+B48)*0.2,"")</f>
        <v/>
      </c>
    </row>
    <row r="48">
      <c r="A48" s="5" t="n">
        <v>8.4</v>
      </c>
      <c r="B48" s="6" t="n">
        <v>0.2126</v>
      </c>
      <c r="C48" s="8">
        <f>IF(A48&gt;=1.6,A48-1.6,"")</f>
        <v/>
      </c>
      <c r="D48" s="8">
        <f>IF(AND(A48&gt;=1.6,B48&gt;0.02),LN(B48),"")</f>
        <v/>
      </c>
      <c r="E48" s="8">
        <f>IF(AND(A48&gt;=1.6,A49&lt;&gt;""),0.5*(B48+B49)*0.2,"")</f>
        <v/>
      </c>
    </row>
    <row r="49">
      <c r="A49" s="5" t="n">
        <v>8.6</v>
      </c>
      <c r="B49" s="6" t="n">
        <v>0.2033</v>
      </c>
      <c r="C49" s="8">
        <f>IF(A49&gt;=1.6,A49-1.6,"")</f>
        <v/>
      </c>
      <c r="D49" s="8">
        <f>IF(AND(A49&gt;=1.6,B49&gt;0.02),LN(B49),"")</f>
        <v/>
      </c>
      <c r="E49" s="8">
        <f>IF(AND(A49&gt;=1.6,A50&lt;&gt;""),0.5*(B49+B50)*0.2,"")</f>
        <v/>
      </c>
    </row>
    <row r="50">
      <c r="A50" s="5" t="n">
        <v>8.800000000000001</v>
      </c>
      <c r="B50" s="6" t="n">
        <v>0.192</v>
      </c>
      <c r="C50" s="8">
        <f>IF(A50&gt;=1.6,A50-1.6,"")</f>
        <v/>
      </c>
      <c r="D50" s="8">
        <f>IF(AND(A50&gt;=1.6,B50&gt;0.02),LN(B50),"")</f>
        <v/>
      </c>
      <c r="E50" s="8">
        <f>IF(AND(A50&gt;=1.6,A51&lt;&gt;""),0.5*(B50+B51)*0.2,"")</f>
        <v/>
      </c>
    </row>
    <row r="51">
      <c r="A51" s="5" t="n">
        <v>9</v>
      </c>
      <c r="B51" s="6" t="n">
        <v>0.1866</v>
      </c>
      <c r="C51" s="8">
        <f>IF(A51&gt;=1.6,A51-1.6,"")</f>
        <v/>
      </c>
      <c r="D51" s="8">
        <f>IF(AND(A51&gt;=1.6,B51&gt;0.02),LN(B51),"")</f>
        <v/>
      </c>
      <c r="E51" s="8">
        <f>IF(AND(A51&gt;=1.6,A52&lt;&gt;""),0.5*(B51+B52)*0.2,"")</f>
        <v/>
      </c>
    </row>
    <row r="52">
      <c r="A52" s="5" t="n">
        <v>9.199999999999999</v>
      </c>
      <c r="B52" s="6" t="n">
        <v>0.1782</v>
      </c>
      <c r="C52" s="8">
        <f>IF(A52&gt;=1.6,A52-1.6,"")</f>
        <v/>
      </c>
      <c r="D52" s="8">
        <f>IF(AND(A52&gt;=1.6,B52&gt;0.02),LN(B52),"")</f>
        <v/>
      </c>
      <c r="E52" s="8">
        <f>IF(AND(A52&gt;=1.6,A53&lt;&gt;""),0.5*(B52+B53)*0.2,"")</f>
        <v/>
      </c>
    </row>
    <row r="53">
      <c r="A53" s="5" t="n">
        <v>9.4</v>
      </c>
      <c r="B53" s="6" t="n">
        <v>0.1705</v>
      </c>
      <c r="C53" s="8">
        <f>IF(A53&gt;=1.6,A53-1.6,"")</f>
        <v/>
      </c>
      <c r="D53" s="8">
        <f>IF(AND(A53&gt;=1.6,B53&gt;0.02),LN(B53),"")</f>
        <v/>
      </c>
      <c r="E53" s="8">
        <f>IF(AND(A53&gt;=1.6,A54&lt;&gt;""),0.5*(B53+B54)*0.2,"")</f>
        <v/>
      </c>
    </row>
    <row r="54">
      <c r="A54" s="5" t="n">
        <v>9.6</v>
      </c>
      <c r="B54" s="6" t="n">
        <v>0.1674</v>
      </c>
      <c r="C54" s="8">
        <f>IF(A54&gt;=1.6,A54-1.6,"")</f>
        <v/>
      </c>
      <c r="D54" s="8">
        <f>IF(AND(A54&gt;=1.6,B54&gt;0.02),LN(B54),"")</f>
        <v/>
      </c>
      <c r="E54" s="8">
        <f>IF(AND(A54&gt;=1.6,A55&lt;&gt;""),0.5*(B54+B55)*0.2,"")</f>
        <v/>
      </c>
    </row>
    <row r="55">
      <c r="A55" s="5" t="n">
        <v>9.800000000000001</v>
      </c>
      <c r="B55" s="6" t="n">
        <v>0.1586</v>
      </c>
      <c r="C55" s="8">
        <f>IF(A55&gt;=1.6,A55-1.6,"")</f>
        <v/>
      </c>
      <c r="D55" s="8">
        <f>IF(AND(A55&gt;=1.6,B55&gt;0.02),LN(B55),"")</f>
        <v/>
      </c>
      <c r="E55" s="8">
        <f>IF(AND(A55&gt;=1.6,A56&lt;&gt;""),0.5*(B55+B56)*0.2,"")</f>
        <v/>
      </c>
    </row>
    <row r="56">
      <c r="A56" s="5" t="n">
        <v>10</v>
      </c>
      <c r="B56" s="6" t="n">
        <v>0.1504</v>
      </c>
      <c r="C56" s="8">
        <f>IF(A56&gt;=1.6,A56-1.6,"")</f>
        <v/>
      </c>
      <c r="D56" s="8">
        <f>IF(AND(A56&gt;=1.6,B56&gt;0.02),LN(B56),"")</f>
        <v/>
      </c>
      <c r="E56" s="8">
        <f>IF(AND(A56&gt;=1.6,A57&lt;&gt;""),0.5*(B56+B57)*0.2,"")</f>
        <v/>
      </c>
    </row>
    <row r="57">
      <c r="A57" s="5" t="n">
        <v>10.2</v>
      </c>
      <c r="B57" s="6" t="n">
        <v>0.1472</v>
      </c>
      <c r="C57" s="8">
        <f>IF(A57&gt;=1.6,A57-1.6,"")</f>
        <v/>
      </c>
      <c r="D57" s="8">
        <f>IF(AND(A57&gt;=1.6,B57&gt;0.02),LN(B57),"")</f>
        <v/>
      </c>
      <c r="E57" s="8">
        <f>IF(AND(A57&gt;=1.6,A58&lt;&gt;""),0.5*(B57+B58)*0.2,"")</f>
        <v/>
      </c>
    </row>
    <row r="58">
      <c r="A58" s="5" t="n">
        <v>10.4</v>
      </c>
      <c r="B58" s="6" t="n">
        <v>0.1397</v>
      </c>
      <c r="C58" s="8">
        <f>IF(A58&gt;=1.6,A58-1.6,"")</f>
        <v/>
      </c>
      <c r="D58" s="8">
        <f>IF(AND(A58&gt;=1.6,B58&gt;0.02),LN(B58),"")</f>
        <v/>
      </c>
      <c r="E58" s="8">
        <f>IF(AND(A58&gt;=1.6,A59&lt;&gt;""),0.5*(B58+B59)*0.2,"")</f>
        <v/>
      </c>
    </row>
    <row r="59">
      <c r="A59" s="5" t="n">
        <v>10.6</v>
      </c>
      <c r="B59" s="6" t="n">
        <v>0.1325</v>
      </c>
      <c r="C59" s="8">
        <f>IF(A59&gt;=1.6,A59-1.6,"")</f>
        <v/>
      </c>
      <c r="D59" s="8">
        <f>IF(AND(A59&gt;=1.6,B59&gt;0.02),LN(B59),"")</f>
        <v/>
      </c>
      <c r="E59" s="8">
        <f>IF(AND(A59&gt;=1.6,A60&lt;&gt;""),0.5*(B59+B60)*0.2,"")</f>
        <v/>
      </c>
    </row>
    <row r="60">
      <c r="A60" s="5" t="n">
        <v>10.8</v>
      </c>
      <c r="B60" s="6" t="n">
        <v>0.125</v>
      </c>
      <c r="C60" s="8">
        <f>IF(A60&gt;=1.6,A60-1.6,"")</f>
        <v/>
      </c>
      <c r="D60" s="8">
        <f>IF(AND(A60&gt;=1.6,B60&gt;0.02),LN(B60),"")</f>
        <v/>
      </c>
      <c r="E60" s="8">
        <f>IF(AND(A60&gt;=1.6,A61&lt;&gt;""),0.5*(B60+B61)*0.2,"")</f>
        <v/>
      </c>
    </row>
    <row r="61">
      <c r="A61" s="5" t="n">
        <v>11</v>
      </c>
      <c r="B61" s="6" t="n">
        <v>0.1221</v>
      </c>
      <c r="C61" s="8">
        <f>IF(A61&gt;=1.6,A61-1.6,"")</f>
        <v/>
      </c>
      <c r="D61" s="8">
        <f>IF(AND(A61&gt;=1.6,B61&gt;0.02),LN(B61),"")</f>
        <v/>
      </c>
      <c r="E61" s="8">
        <f>IF(AND(A61&gt;=1.6,A62&lt;&gt;""),0.5*(B61+B62)*0.2,"")</f>
        <v/>
      </c>
    </row>
    <row r="62">
      <c r="A62" s="5" t="n">
        <v>11.2</v>
      </c>
      <c r="B62" s="6" t="n">
        <v>0.1145</v>
      </c>
      <c r="C62" s="8">
        <f>IF(A62&gt;=1.6,A62-1.6,"")</f>
        <v/>
      </c>
      <c r="D62" s="8">
        <f>IF(AND(A62&gt;=1.6,B62&gt;0.02),LN(B62),"")</f>
        <v/>
      </c>
      <c r="E62" s="8">
        <f>IF(AND(A62&gt;=1.6,A63&lt;&gt;""),0.5*(B62+B63)*0.2,"")</f>
        <v/>
      </c>
    </row>
    <row r="63">
      <c r="A63" s="5" t="n">
        <v>11.4</v>
      </c>
      <c r="B63" s="6" t="n">
        <v>0.11</v>
      </c>
      <c r="C63" s="8">
        <f>IF(A63&gt;=1.6,A63-1.6,"")</f>
        <v/>
      </c>
      <c r="D63" s="8">
        <f>IF(AND(A63&gt;=1.6,B63&gt;0.02),LN(B63),"")</f>
        <v/>
      </c>
      <c r="E63" s="8">
        <f>IF(AND(A63&gt;=1.6,A64&lt;&gt;""),0.5*(B63+B64)*0.2,"")</f>
        <v/>
      </c>
    </row>
    <row r="64">
      <c r="A64" s="5" t="n">
        <v>11.6</v>
      </c>
      <c r="B64" s="6" t="n">
        <v>0.1063</v>
      </c>
      <c r="C64" s="8">
        <f>IF(A64&gt;=1.6,A64-1.6,"")</f>
        <v/>
      </c>
      <c r="D64" s="8">
        <f>IF(AND(A64&gt;=1.6,B64&gt;0.02),LN(B64),"")</f>
        <v/>
      </c>
      <c r="E64" s="8">
        <f>IF(AND(A64&gt;=1.6,A65&lt;&gt;""),0.5*(B64+B65)*0.2,"")</f>
        <v/>
      </c>
    </row>
    <row r="65">
      <c r="A65" s="5" t="n">
        <v>11.8</v>
      </c>
      <c r="B65" s="6" t="n">
        <v>0.1035</v>
      </c>
      <c r="C65" s="8">
        <f>IF(A65&gt;=1.6,A65-1.6,"")</f>
        <v/>
      </c>
      <c r="D65" s="8">
        <f>IF(AND(A65&gt;=1.6,B65&gt;0.02),LN(B65),"")</f>
        <v/>
      </c>
      <c r="E65" s="8">
        <f>IF(AND(A65&gt;=1.6,A66&lt;&gt;""),0.5*(B65+B66)*0.2,"")</f>
        <v/>
      </c>
    </row>
    <row r="66">
      <c r="A66" s="5" t="n">
        <v>12</v>
      </c>
      <c r="B66" s="6" t="n">
        <v>0.0969</v>
      </c>
      <c r="C66" s="8">
        <f>IF(A66&gt;=1.6,A66-1.6,"")</f>
        <v/>
      </c>
      <c r="D66" s="8">
        <f>IF(AND(A66&gt;=1.6,B66&gt;0.02),LN(B66),"")</f>
        <v/>
      </c>
      <c r="E66" s="8">
        <f>IF(AND(A66&gt;=1.6,A67&lt;&gt;""),0.5*(B66+B67)*0.2,"")</f>
        <v/>
      </c>
    </row>
    <row r="67">
      <c r="A67" s="5" t="n">
        <v>12.2</v>
      </c>
      <c r="B67" s="6" t="n">
        <v>0.09470000000000001</v>
      </c>
      <c r="C67" s="8">
        <f>IF(A67&gt;=1.6,A67-1.6,"")</f>
        <v/>
      </c>
      <c r="D67" s="8">
        <f>IF(AND(A67&gt;=1.6,B67&gt;0.02),LN(B67),"")</f>
        <v/>
      </c>
      <c r="E67" s="8">
        <f>IF(AND(A67&gt;=1.6,A68&lt;&gt;""),0.5*(B67+B68)*0.2,"")</f>
        <v/>
      </c>
    </row>
    <row r="68">
      <c r="A68" s="5" t="n">
        <v>12.4</v>
      </c>
      <c r="B68" s="6" t="n">
        <v>0.0907</v>
      </c>
      <c r="C68" s="8">
        <f>IF(A68&gt;=1.6,A68-1.6,"")</f>
        <v/>
      </c>
      <c r="D68" s="8">
        <f>IF(AND(A68&gt;=1.6,B68&gt;0.02),LN(B68),"")</f>
        <v/>
      </c>
      <c r="E68" s="8">
        <f>IF(AND(A68&gt;=1.6,A69&lt;&gt;""),0.5*(B68+B69)*0.2,"")</f>
        <v/>
      </c>
    </row>
    <row r="69">
      <c r="A69" s="5" t="n">
        <v>12.6</v>
      </c>
      <c r="B69" s="6" t="n">
        <v>0.0868</v>
      </c>
      <c r="C69" s="8">
        <f>IF(A69&gt;=1.6,A69-1.6,"")</f>
        <v/>
      </c>
      <c r="D69" s="8">
        <f>IF(AND(A69&gt;=1.6,B69&gt;0.02),LN(B69),"")</f>
        <v/>
      </c>
      <c r="E69" s="8">
        <f>IF(AND(A69&gt;=1.6,A70&lt;&gt;""),0.5*(B69+B70)*0.2,"")</f>
        <v/>
      </c>
    </row>
    <row r="70">
      <c r="A70" s="5" t="n">
        <v>12.8</v>
      </c>
      <c r="B70" s="6" t="n">
        <v>0.0822</v>
      </c>
      <c r="C70" s="8">
        <f>IF(A70&gt;=1.6,A70-1.6,"")</f>
        <v/>
      </c>
      <c r="D70" s="8">
        <f>IF(AND(A70&gt;=1.6,B70&gt;0.02),LN(B70),"")</f>
        <v/>
      </c>
      <c r="E70" s="8">
        <f>IF(AND(A70&gt;=1.6,A71&lt;&gt;""),0.5*(B70+B71)*0.2,"")</f>
        <v/>
      </c>
    </row>
    <row r="71">
      <c r="A71" s="5" t="n">
        <v>13</v>
      </c>
      <c r="B71" s="6" t="n">
        <v>0.0824</v>
      </c>
      <c r="C71" s="8">
        <f>IF(A71&gt;=1.6,A71-1.6,"")</f>
        <v/>
      </c>
      <c r="D71" s="8">
        <f>IF(AND(A71&gt;=1.6,B71&gt;0.02),LN(B71),"")</f>
        <v/>
      </c>
      <c r="E71" s="8">
        <f>IF(AND(A71&gt;=1.6,A72&lt;&gt;""),0.5*(B71+B72)*0.2,"")</f>
        <v/>
      </c>
    </row>
    <row r="72">
      <c r="A72" s="5" t="n">
        <v>13.2</v>
      </c>
      <c r="B72" s="6" t="n">
        <v>0.0751</v>
      </c>
      <c r="C72" s="8">
        <f>IF(A72&gt;=1.6,A72-1.6,"")</f>
        <v/>
      </c>
      <c r="D72" s="8">
        <f>IF(AND(A72&gt;=1.6,B72&gt;0.02),LN(B72),"")</f>
        <v/>
      </c>
      <c r="E72" s="8">
        <f>IF(AND(A72&gt;=1.6,A73&lt;&gt;""),0.5*(B72+B73)*0.2,"")</f>
        <v/>
      </c>
    </row>
    <row r="73">
      <c r="A73" s="5" t="n">
        <v>13.4</v>
      </c>
      <c r="B73" s="6" t="n">
        <v>0.07340000000000001</v>
      </c>
      <c r="C73" s="8">
        <f>IF(A73&gt;=1.6,A73-1.6,"")</f>
        <v/>
      </c>
      <c r="D73" s="8">
        <f>IF(AND(A73&gt;=1.6,B73&gt;0.02),LN(B73),"")</f>
        <v/>
      </c>
      <c r="E73" s="8">
        <f>IF(AND(A73&gt;=1.6,A74&lt;&gt;""),0.5*(B73+B74)*0.2,"")</f>
        <v/>
      </c>
    </row>
    <row r="74">
      <c r="A74" s="5" t="n">
        <v>13.6</v>
      </c>
      <c r="B74" s="6" t="n">
        <v>0.06859999999999999</v>
      </c>
      <c r="C74" s="8">
        <f>IF(A74&gt;=1.6,A74-1.6,"")</f>
        <v/>
      </c>
      <c r="D74" s="8">
        <f>IF(AND(A74&gt;=1.6,B74&gt;0.02),LN(B74),"")</f>
        <v/>
      </c>
      <c r="E74" s="8">
        <f>IF(AND(A74&gt;=1.6,A75&lt;&gt;""),0.5*(B74+B75)*0.2,"")</f>
        <v/>
      </c>
    </row>
    <row r="75">
      <c r="A75" s="5" t="n">
        <v>13.8</v>
      </c>
      <c r="B75" s="6" t="n">
        <v>0.0664</v>
      </c>
      <c r="C75" s="8">
        <f>IF(A75&gt;=1.6,A75-1.6,"")</f>
        <v/>
      </c>
      <c r="D75" s="8">
        <f>IF(AND(A75&gt;=1.6,B75&gt;0.02),LN(B75),"")</f>
        <v/>
      </c>
      <c r="E75" s="8">
        <f>IF(AND(A75&gt;=1.6,A76&lt;&gt;""),0.5*(B75+B76)*0.2,"")</f>
        <v/>
      </c>
    </row>
    <row r="76">
      <c r="A76" s="5" t="n">
        <v>14</v>
      </c>
      <c r="B76" s="6" t="n">
        <v>0.06370000000000001</v>
      </c>
      <c r="C76" s="8">
        <f>IF(A76&gt;=1.6,A76-1.6,"")</f>
        <v/>
      </c>
      <c r="D76" s="8">
        <f>IF(AND(A76&gt;=1.6,B76&gt;0.02),LN(B76),"")</f>
        <v/>
      </c>
      <c r="E76" s="8">
        <f>IF(AND(A76&gt;=1.6,A77&lt;&gt;""),0.5*(B76+B77)*0.2,"")</f>
        <v/>
      </c>
    </row>
    <row r="77">
      <c r="A77" s="5" t="n">
        <v>14.2</v>
      </c>
      <c r="B77" s="6" t="n">
        <v>0.0605</v>
      </c>
      <c r="C77" s="8">
        <f>IF(A77&gt;=1.6,A77-1.6,"")</f>
        <v/>
      </c>
      <c r="D77" s="8">
        <f>IF(AND(A77&gt;=1.6,B77&gt;0.02),LN(B77),"")</f>
        <v/>
      </c>
      <c r="E77" s="8">
        <f>IF(AND(A77&gt;=1.6,A78&lt;&gt;""),0.5*(B77+B78)*0.2,"")</f>
        <v/>
      </c>
    </row>
    <row r="78">
      <c r="A78" s="5" t="n">
        <v>14.4</v>
      </c>
      <c r="B78" s="6" t="n">
        <v>0.0572</v>
      </c>
      <c r="C78" s="8">
        <f>IF(A78&gt;=1.6,A78-1.6,"")</f>
        <v/>
      </c>
      <c r="D78" s="8">
        <f>IF(AND(A78&gt;=1.6,B78&gt;0.02),LN(B78),"")</f>
        <v/>
      </c>
      <c r="E78" s="8">
        <f>IF(AND(A78&gt;=1.6,A79&lt;&gt;""),0.5*(B78+B79)*0.2,"")</f>
        <v/>
      </c>
    </row>
    <row r="79">
      <c r="A79" s="5" t="n">
        <v>14.6</v>
      </c>
      <c r="B79" s="6" t="n">
        <v>0.0586</v>
      </c>
      <c r="C79" s="8">
        <f>IF(A79&gt;=1.6,A79-1.6,"")</f>
        <v/>
      </c>
      <c r="D79" s="8">
        <f>IF(AND(A79&gt;=1.6,B79&gt;0.02),LN(B79),"")</f>
        <v/>
      </c>
      <c r="E79" s="8">
        <f>IF(AND(A79&gt;=1.6,A80&lt;&gt;""),0.5*(B79+B80)*0.2,"")</f>
        <v/>
      </c>
    </row>
    <row r="80">
      <c r="A80" s="5" t="n">
        <v>14.8</v>
      </c>
      <c r="B80" s="6" t="n">
        <v>0.0553</v>
      </c>
      <c r="C80" s="8">
        <f>IF(A80&gt;=1.6,A80-1.6,"")</f>
        <v/>
      </c>
      <c r="D80" s="8">
        <f>IF(AND(A80&gt;=1.6,B80&gt;0.02),LN(B80),"")</f>
        <v/>
      </c>
      <c r="E80" s="8">
        <f>IF(AND(A80&gt;=1.6,A81&lt;&gt;""),0.5*(B80+B81)*0.2,"")</f>
        <v/>
      </c>
    </row>
    <row r="81">
      <c r="A81" s="5" t="n">
        <v>15</v>
      </c>
      <c r="B81" s="6" t="n">
        <v>0.0518</v>
      </c>
      <c r="C81" s="8">
        <f>IF(A81&gt;=1.6,A81-1.6,"")</f>
        <v/>
      </c>
      <c r="D81" s="8">
        <f>IF(AND(A81&gt;=1.6,B81&gt;0.02),LN(B81),"")</f>
        <v/>
      </c>
      <c r="E81" s="8">
        <f>IF(AND(A81&gt;=1.6,A82&lt;&gt;""),0.5*(B81+B82)*0.2,"")</f>
        <v/>
      </c>
    </row>
    <row r="82">
      <c r="A82" s="5" t="n">
        <v>15.2</v>
      </c>
      <c r="B82" s="6" t="n">
        <v>0.0474</v>
      </c>
      <c r="C82" s="8">
        <f>IF(A82&gt;=1.6,A82-1.6,"")</f>
        <v/>
      </c>
      <c r="D82" s="8">
        <f>IF(AND(A82&gt;=1.6,B82&gt;0.02),LN(B82),"")</f>
        <v/>
      </c>
      <c r="E82" s="8">
        <f>IF(AND(A82&gt;=1.6,A83&lt;&gt;""),0.5*(B82+B83)*0.2,"")</f>
        <v/>
      </c>
    </row>
    <row r="83">
      <c r="A83" s="5" t="n">
        <v>15.4</v>
      </c>
      <c r="B83" s="6" t="n">
        <v>0.0494</v>
      </c>
      <c r="C83" s="8">
        <f>IF(A83&gt;=1.6,A83-1.6,"")</f>
        <v/>
      </c>
      <c r="D83" s="8">
        <f>IF(AND(A83&gt;=1.6,B83&gt;0.02),LN(B83),"")</f>
        <v/>
      </c>
      <c r="E83" s="8">
        <f>IF(AND(A83&gt;=1.6,A84&lt;&gt;""),0.5*(B83+B84)*0.2,"")</f>
        <v/>
      </c>
    </row>
    <row r="84">
      <c r="A84" s="5" t="n">
        <v>15.6</v>
      </c>
      <c r="B84" s="6" t="n">
        <v>0.0468</v>
      </c>
      <c r="C84" s="8">
        <f>IF(A84&gt;=1.6,A84-1.6,"")</f>
        <v/>
      </c>
      <c r="D84" s="8">
        <f>IF(AND(A84&gt;=1.6,B84&gt;0.02),LN(B84),"")</f>
        <v/>
      </c>
      <c r="E84" s="8">
        <f>IF(AND(A84&gt;=1.6,A85&lt;&gt;""),0.5*(B84+B85)*0.2,"")</f>
        <v/>
      </c>
    </row>
    <row r="85">
      <c r="A85" s="5" t="n">
        <v>15.8</v>
      </c>
      <c r="B85" s="6" t="n">
        <v>0.0472</v>
      </c>
      <c r="C85" s="8">
        <f>IF(A85&gt;=1.6,A85-1.6,"")</f>
        <v/>
      </c>
      <c r="D85" s="8">
        <f>IF(AND(A85&gt;=1.6,B85&gt;0.02),LN(B85),"")</f>
        <v/>
      </c>
      <c r="E85" s="8">
        <f>IF(AND(A85&gt;=1.6,A86&lt;&gt;""),0.5*(B85+B86)*0.2,"")</f>
        <v/>
      </c>
    </row>
    <row r="86">
      <c r="A86" s="5" t="n">
        <v>16</v>
      </c>
      <c r="B86" s="6" t="n">
        <v>0.0389</v>
      </c>
      <c r="C86" s="8">
        <f>IF(A86&gt;=1.6,A86-1.6,"")</f>
        <v/>
      </c>
      <c r="D86" s="8">
        <f>IF(AND(A86&gt;=1.6,B86&gt;0.02),LN(B86),"")</f>
        <v/>
      </c>
      <c r="E86" s="8">
        <f>IF(AND(A86&gt;=1.6,A87&lt;&gt;""),0.5*(B86+B87)*0.2,"")</f>
        <v/>
      </c>
    </row>
    <row r="87">
      <c r="A87" s="5" t="n">
        <v>16.2</v>
      </c>
      <c r="B87" s="6" t="n">
        <v>0.0422</v>
      </c>
      <c r="C87" s="8">
        <f>IF(A87&gt;=1.6,A87-1.6,"")</f>
        <v/>
      </c>
      <c r="D87" s="8">
        <f>IF(AND(A87&gt;=1.6,B87&gt;0.02),LN(B87),"")</f>
        <v/>
      </c>
      <c r="E87" s="8">
        <f>IF(AND(A87&gt;=1.6,A88&lt;&gt;""),0.5*(B87+B88)*0.2,"")</f>
        <v/>
      </c>
    </row>
    <row r="88">
      <c r="A88" s="5" t="n">
        <v>16.4</v>
      </c>
      <c r="B88" s="6" t="n">
        <v>0.0378</v>
      </c>
      <c r="C88" s="8">
        <f>IF(A88&gt;=1.6,A88-1.6,"")</f>
        <v/>
      </c>
      <c r="D88" s="8">
        <f>IF(AND(A88&gt;=1.6,B88&gt;0.02),LN(B88),"")</f>
        <v/>
      </c>
      <c r="E88" s="8">
        <f>IF(AND(A88&gt;=1.6,A89&lt;&gt;""),0.5*(B88+B89)*0.2,"")</f>
        <v/>
      </c>
    </row>
    <row r="89">
      <c r="A89" s="5" t="n">
        <v>16.6</v>
      </c>
      <c r="B89" s="6" t="n">
        <v>0.0357</v>
      </c>
      <c r="C89" s="8">
        <f>IF(A89&gt;=1.6,A89-1.6,"")</f>
        <v/>
      </c>
      <c r="D89" s="8">
        <f>IF(AND(A89&gt;=1.6,B89&gt;0.02),LN(B89),"")</f>
        <v/>
      </c>
      <c r="E89" s="8">
        <f>IF(AND(A89&gt;=1.6,A90&lt;&gt;""),0.5*(B89+B90)*0.2,"")</f>
        <v/>
      </c>
    </row>
    <row r="90">
      <c r="A90" s="5" t="n">
        <v>16.8</v>
      </c>
      <c r="B90" s="6" t="n">
        <v>0.0348</v>
      </c>
      <c r="C90" s="8">
        <f>IF(A90&gt;=1.6,A90-1.6,"")</f>
        <v/>
      </c>
      <c r="D90" s="8">
        <f>IF(AND(A90&gt;=1.6,B90&gt;0.02),LN(B90),"")</f>
        <v/>
      </c>
      <c r="E90" s="8">
        <f>IF(AND(A90&gt;=1.6,A91&lt;&gt;""),0.5*(B90+B91)*0.2,"")</f>
        <v/>
      </c>
    </row>
    <row r="91">
      <c r="A91" s="5" t="n">
        <v>17</v>
      </c>
      <c r="B91" s="6" t="n">
        <v>0.0342</v>
      </c>
      <c r="C91" s="8">
        <f>IF(A91&gt;=1.6,A91-1.6,"")</f>
        <v/>
      </c>
      <c r="D91" s="8">
        <f>IF(AND(A91&gt;=1.6,B91&gt;0.02),LN(B91),"")</f>
        <v/>
      </c>
      <c r="E91" s="8">
        <f>IF(AND(A91&gt;=1.6,A92&lt;&gt;""),0.5*(B91+B92)*0.2,"")</f>
        <v/>
      </c>
    </row>
    <row r="92">
      <c r="A92" s="5" t="n">
        <v>17.2</v>
      </c>
      <c r="B92" s="6" t="n">
        <v>0.0335</v>
      </c>
      <c r="C92" s="8">
        <f>IF(A92&gt;=1.6,A92-1.6,"")</f>
        <v/>
      </c>
      <c r="D92" s="8">
        <f>IF(AND(A92&gt;=1.6,B92&gt;0.02),LN(B92),"")</f>
        <v/>
      </c>
      <c r="E92" s="8">
        <f>IF(AND(A92&gt;=1.6,A93&lt;&gt;""),0.5*(B92+B93)*0.2,"")</f>
        <v/>
      </c>
    </row>
    <row r="93">
      <c r="A93" s="5" t="n">
        <v>17.4</v>
      </c>
      <c r="B93" s="6" t="n">
        <v>0.0284</v>
      </c>
      <c r="C93" s="8">
        <f>IF(A93&gt;=1.6,A93-1.6,"")</f>
        <v/>
      </c>
      <c r="D93" s="8">
        <f>IF(AND(A93&gt;=1.6,B93&gt;0.02),LN(B93),"")</f>
        <v/>
      </c>
      <c r="E93" s="8">
        <f>IF(AND(A93&gt;=1.6,A94&lt;&gt;""),0.5*(B93+B94)*0.2,"")</f>
        <v/>
      </c>
    </row>
    <row r="94">
      <c r="A94" s="5" t="n">
        <v>17.6</v>
      </c>
      <c r="B94" s="6" t="n">
        <v>0.0301</v>
      </c>
      <c r="C94" s="8">
        <f>IF(A94&gt;=1.6,A94-1.6,"")</f>
        <v/>
      </c>
      <c r="D94" s="8">
        <f>IF(AND(A94&gt;=1.6,B94&gt;0.02),LN(B94),"")</f>
        <v/>
      </c>
      <c r="E94" s="8">
        <f>IF(AND(A94&gt;=1.6,A95&lt;&gt;""),0.5*(B94+B95)*0.2,"")</f>
        <v/>
      </c>
    </row>
    <row r="95">
      <c r="A95" s="5" t="n">
        <v>17.8</v>
      </c>
      <c r="B95" s="6" t="n">
        <v>0.0281</v>
      </c>
      <c r="C95" s="8">
        <f>IF(A95&gt;=1.6,A95-1.6,"")</f>
        <v/>
      </c>
      <c r="D95" s="8">
        <f>IF(AND(A95&gt;=1.6,B95&gt;0.02),LN(B95),"")</f>
        <v/>
      </c>
      <c r="E95" s="8">
        <f>IF(AND(A95&gt;=1.6,A96&lt;&gt;""),0.5*(B95+B96)*0.2,"")</f>
        <v/>
      </c>
    </row>
    <row r="96">
      <c r="A96" s="5" t="n">
        <v>18</v>
      </c>
      <c r="B96" s="6" t="n">
        <v>0.0268</v>
      </c>
      <c r="C96" s="8">
        <f>IF(A96&gt;=1.6,A96-1.6,"")</f>
        <v/>
      </c>
      <c r="D96" s="8">
        <f>IF(AND(A96&gt;=1.6,B96&gt;0.02),LN(B96),"")</f>
        <v/>
      </c>
      <c r="E96" s="8">
        <f>IF(AND(A96&gt;=1.6,A97&lt;&gt;""),0.5*(B96+B97)*0.2,"")</f>
        <v/>
      </c>
    </row>
    <row r="97">
      <c r="A97" s="5" t="n">
        <v>18.2</v>
      </c>
      <c r="B97" s="6" t="n">
        <v>0.0258</v>
      </c>
      <c r="C97" s="8">
        <f>IF(A97&gt;=1.6,A97-1.6,"")</f>
        <v/>
      </c>
      <c r="D97" s="8">
        <f>IF(AND(A97&gt;=1.6,B97&gt;0.02),LN(B97),"")</f>
        <v/>
      </c>
      <c r="E97" s="8">
        <f>IF(AND(A97&gt;=1.6,A98&lt;&gt;""),0.5*(B97+B98)*0.2,"")</f>
        <v/>
      </c>
    </row>
    <row r="98">
      <c r="A98" s="5" t="n">
        <v>18.4</v>
      </c>
      <c r="B98" s="6" t="n">
        <v>0.0236</v>
      </c>
      <c r="C98" s="8">
        <f>IF(A98&gt;=1.6,A98-1.6,"")</f>
        <v/>
      </c>
      <c r="D98" s="8">
        <f>IF(AND(A98&gt;=1.6,B98&gt;0.02),LN(B98),"")</f>
        <v/>
      </c>
      <c r="E98" s="8">
        <f>IF(AND(A98&gt;=1.6,A99&lt;&gt;""),0.5*(B98+B99)*0.2,"")</f>
        <v/>
      </c>
    </row>
    <row r="99">
      <c r="A99" s="5" t="n">
        <v>18.6</v>
      </c>
      <c r="B99" s="6" t="n">
        <v>0.0228</v>
      </c>
      <c r="C99" s="8">
        <f>IF(A99&gt;=1.6,A99-1.6,"")</f>
        <v/>
      </c>
      <c r="D99" s="8">
        <f>IF(AND(A99&gt;=1.6,B99&gt;0.02),LN(B99),"")</f>
        <v/>
      </c>
      <c r="E99" s="8">
        <f>IF(AND(A99&gt;=1.6,A100&lt;&gt;""),0.5*(B99+B100)*0.2,"")</f>
        <v/>
      </c>
    </row>
    <row r="100">
      <c r="A100" s="5" t="n">
        <v>18.8</v>
      </c>
      <c r="B100" s="6" t="n">
        <v>0.0208</v>
      </c>
      <c r="C100" s="8">
        <f>IF(A100&gt;=1.6,A100-1.6,"")</f>
        <v/>
      </c>
      <c r="D100" s="8">
        <f>IF(AND(A100&gt;=1.6,B100&gt;0.02),LN(B100),"")</f>
        <v/>
      </c>
      <c r="E100" s="8">
        <f>IF(AND(A100&gt;=1.6,A101&lt;&gt;""),0.5*(B100+B101)*0.2,"")</f>
        <v/>
      </c>
    </row>
    <row r="101">
      <c r="A101" s="5" t="n">
        <v>19</v>
      </c>
      <c r="B101" s="6" t="n">
        <v>0.0218</v>
      </c>
      <c r="C101" s="8">
        <f>IF(A101&gt;=1.6,A101-1.6,"")</f>
        <v/>
      </c>
      <c r="D101" s="8">
        <f>IF(AND(A101&gt;=1.6,B101&gt;0.02),LN(B101),"")</f>
        <v/>
      </c>
      <c r="E101" s="8">
        <f>IF(AND(A101&gt;=1.6,A102&lt;&gt;""),0.5*(B101+B102)*0.2,"")</f>
        <v/>
      </c>
    </row>
    <row r="102">
      <c r="A102" s="5" t="n">
        <v>19.2</v>
      </c>
      <c r="B102" s="6" t="n">
        <v>0.0211</v>
      </c>
      <c r="C102" s="8">
        <f>IF(A102&gt;=1.6,A102-1.6,"")</f>
        <v/>
      </c>
      <c r="D102" s="8">
        <f>IF(AND(A102&gt;=1.6,B102&gt;0.02),LN(B102),"")</f>
        <v/>
      </c>
      <c r="E102" s="8">
        <f>IF(AND(A102&gt;=1.6,A103&lt;&gt;""),0.5*(B102+B103)*0.2,"")</f>
        <v/>
      </c>
    </row>
    <row r="103">
      <c r="A103" s="5" t="n">
        <v>19.4</v>
      </c>
      <c r="B103" s="6" t="n">
        <v>0.0235</v>
      </c>
      <c r="C103" s="8">
        <f>IF(A103&gt;=1.6,A103-1.6,"")</f>
        <v/>
      </c>
      <c r="D103" s="8">
        <f>IF(AND(A103&gt;=1.6,B103&gt;0.02),LN(B103),"")</f>
        <v/>
      </c>
      <c r="E103" s="8">
        <f>IF(AND(A103&gt;=1.6,A104&lt;&gt;""),0.5*(B103+B104)*0.2,"")</f>
        <v/>
      </c>
    </row>
    <row r="104">
      <c r="A104" s="5" t="n">
        <v>19.6</v>
      </c>
      <c r="B104" s="6" t="n">
        <v>0.0171</v>
      </c>
      <c r="C104" s="8">
        <f>IF(A104&gt;=1.6,A104-1.6,"")</f>
        <v/>
      </c>
      <c r="D104" s="8">
        <f>IF(AND(A104&gt;=1.6,B104&gt;0.02),LN(B104),"")</f>
        <v/>
      </c>
      <c r="E104" s="8">
        <f>IF(AND(A104&gt;=1.6,A105&lt;&gt;""),0.5*(B104+B105)*0.2,"")</f>
        <v/>
      </c>
    </row>
    <row r="105">
      <c r="A105" s="5" t="n">
        <v>19.8</v>
      </c>
      <c r="B105" s="6" t="n">
        <v>0.0213</v>
      </c>
      <c r="C105" s="8">
        <f>IF(A105&gt;=1.6,A105-1.6,"")</f>
        <v/>
      </c>
      <c r="D105" s="8">
        <f>IF(AND(A105&gt;=1.6,B105&gt;0.02),LN(B105),"")</f>
        <v/>
      </c>
      <c r="E105" s="8">
        <f>IF(AND(A105&gt;=1.6,A106&lt;&gt;""),0.5*(B105+B106)*0.2,"")</f>
        <v/>
      </c>
    </row>
    <row r="106">
      <c r="A106" s="5" t="n">
        <v>20</v>
      </c>
      <c r="B106" s="6" t="n">
        <v>0.0187</v>
      </c>
      <c r="C106" s="8">
        <f>IF(A106&gt;=1.6,A106-1.6,"")</f>
        <v/>
      </c>
      <c r="D106" s="8">
        <f>IF(AND(A106&gt;=1.6,B106&gt;0.02),LN(B106),"")</f>
        <v/>
      </c>
      <c r="E106" s="8">
        <f>IF(AND(A106&gt;=1.6,A107&lt;&gt;""),0.5*(B106+B107)*0.2,"")</f>
        <v/>
      </c>
    </row>
    <row r="107">
      <c r="A107" s="5" t="n">
        <v>20.2</v>
      </c>
      <c r="B107" s="6" t="n">
        <v>0.0155</v>
      </c>
      <c r="C107" s="8">
        <f>IF(A107&gt;=1.6,A107-1.6,"")</f>
        <v/>
      </c>
      <c r="D107" s="8">
        <f>IF(AND(A107&gt;=1.6,B107&gt;0.02),LN(B107),"")</f>
        <v/>
      </c>
      <c r="E107" s="8">
        <f>IF(AND(A107&gt;=1.6,A108&lt;&gt;""),0.5*(B107+B108)*0.2,"")</f>
        <v/>
      </c>
    </row>
    <row r="108">
      <c r="A108" s="5" t="n">
        <v>20.4</v>
      </c>
      <c r="B108" s="6" t="n">
        <v>0.0153</v>
      </c>
      <c r="C108" s="8">
        <f>IF(A108&gt;=1.6,A108-1.6,"")</f>
        <v/>
      </c>
      <c r="D108" s="8">
        <f>IF(AND(A108&gt;=1.6,B108&gt;0.02),LN(B108),"")</f>
        <v/>
      </c>
      <c r="E108" s="8">
        <f>IF(AND(A108&gt;=1.6,A109&lt;&gt;""),0.5*(B108+B109)*0.2,"")</f>
        <v/>
      </c>
    </row>
    <row r="109">
      <c r="A109" s="5" t="n">
        <v>20.6</v>
      </c>
      <c r="B109" s="6" t="n">
        <v>0.0159</v>
      </c>
      <c r="C109" s="8">
        <f>IF(A109&gt;=1.6,A109-1.6,"")</f>
        <v/>
      </c>
      <c r="D109" s="8">
        <f>IF(AND(A109&gt;=1.6,B109&gt;0.02),LN(B109),"")</f>
        <v/>
      </c>
      <c r="E109" s="8">
        <f>IF(AND(A109&gt;=1.6,A110&lt;&gt;""),0.5*(B109+B110)*0.2,"")</f>
        <v/>
      </c>
    </row>
    <row r="110">
      <c r="A110" s="5" t="n">
        <v>20.8</v>
      </c>
      <c r="B110" s="6" t="n">
        <v>0.0144</v>
      </c>
      <c r="C110" s="8">
        <f>IF(A110&gt;=1.6,A110-1.6,"")</f>
        <v/>
      </c>
      <c r="D110" s="8">
        <f>IF(AND(A110&gt;=1.6,B110&gt;0.02),LN(B110),"")</f>
        <v/>
      </c>
      <c r="E110" s="8">
        <f>IF(AND(A110&gt;=1.6,A111&lt;&gt;""),0.5*(B110+B111)*0.2,"")</f>
        <v/>
      </c>
    </row>
    <row r="111">
      <c r="A111" s="5" t="n">
        <v>21</v>
      </c>
      <c r="B111" s="6" t="n">
        <v>0.0147</v>
      </c>
      <c r="C111" s="8">
        <f>IF(A111&gt;=1.6,A111-1.6,"")</f>
        <v/>
      </c>
      <c r="D111" s="8">
        <f>IF(AND(A111&gt;=1.6,B111&gt;0.02),LN(B111),"")</f>
        <v/>
      </c>
      <c r="E111" s="8">
        <f>IF(AND(A111&gt;=1.6,A112&lt;&gt;""),0.5*(B111+B112)*0.2,"")</f>
        <v/>
      </c>
    </row>
    <row r="112">
      <c r="A112" s="5" t="n">
        <v>21.2</v>
      </c>
      <c r="B112" s="6" t="n">
        <v>0.0115</v>
      </c>
      <c r="C112" s="8">
        <f>IF(A112&gt;=1.6,A112-1.6,"")</f>
        <v/>
      </c>
      <c r="D112" s="8">
        <f>IF(AND(A112&gt;=1.6,B112&gt;0.02),LN(B112),"")</f>
        <v/>
      </c>
      <c r="E112" s="8">
        <f>IF(AND(A112&gt;=1.6,A113&lt;&gt;""),0.5*(B112+B113)*0.2,"")</f>
        <v/>
      </c>
    </row>
    <row r="113">
      <c r="A113" s="5" t="n">
        <v>21.4</v>
      </c>
      <c r="B113" s="6" t="n">
        <v>0.0138</v>
      </c>
      <c r="C113" s="8">
        <f>IF(A113&gt;=1.6,A113-1.6,"")</f>
        <v/>
      </c>
      <c r="D113" s="8">
        <f>IF(AND(A113&gt;=1.6,B113&gt;0.02),LN(B113),"")</f>
        <v/>
      </c>
      <c r="E113" s="8">
        <f>IF(AND(A113&gt;=1.6,A114&lt;&gt;""),0.5*(B113+B114)*0.2,"")</f>
        <v/>
      </c>
    </row>
    <row r="114">
      <c r="A114" s="5" t="n">
        <v>21.6</v>
      </c>
      <c r="B114" s="6" t="n">
        <v>0.0115</v>
      </c>
      <c r="C114" s="8">
        <f>IF(A114&gt;=1.6,A114-1.6,"")</f>
        <v/>
      </c>
      <c r="D114" s="8">
        <f>IF(AND(A114&gt;=1.6,B114&gt;0.02),LN(B114),"")</f>
        <v/>
      </c>
      <c r="E114" s="8">
        <f>IF(AND(A114&gt;=1.6,A115&lt;&gt;""),0.5*(B114+B115)*0.2,"")</f>
        <v/>
      </c>
    </row>
    <row r="115">
      <c r="A115" s="5" t="n">
        <v>21.8</v>
      </c>
      <c r="B115" s="6" t="n">
        <v>0.011</v>
      </c>
      <c r="C115" s="8">
        <f>IF(A115&gt;=1.6,A115-1.6,"")</f>
        <v/>
      </c>
      <c r="D115" s="8">
        <f>IF(AND(A115&gt;=1.6,B115&gt;0.02),LN(B115),"")</f>
        <v/>
      </c>
      <c r="E115" s="8">
        <f>IF(AND(A115&gt;=1.6,A116&lt;&gt;""),0.5*(B115+B116)*0.2,"")</f>
        <v/>
      </c>
    </row>
    <row r="116">
      <c r="A116" s="5" t="n">
        <v>22</v>
      </c>
      <c r="B116" s="6" t="n">
        <v>0.0064</v>
      </c>
      <c r="C116" s="8">
        <f>IF(A116&gt;=1.6,A116-1.6,"")</f>
        <v/>
      </c>
      <c r="D116" s="8">
        <f>IF(AND(A116&gt;=1.6,B116&gt;0.02),LN(B116),"")</f>
        <v/>
      </c>
      <c r="E116" s="8">
        <f>IF(AND(A116&gt;=1.6,A117&lt;&gt;""),0.5*(B116+B117)*0.2,"")</f>
        <v/>
      </c>
    </row>
    <row r="117">
      <c r="A117" s="5" t="n">
        <v>22.2</v>
      </c>
      <c r="B117" s="6" t="n">
        <v>0.0123</v>
      </c>
      <c r="C117" s="8">
        <f>IF(A117&gt;=1.6,A117-1.6,"")</f>
        <v/>
      </c>
      <c r="D117" s="8">
        <f>IF(AND(A117&gt;=1.6,B117&gt;0.02),LN(B117),"")</f>
        <v/>
      </c>
      <c r="E117" s="8">
        <f>IF(AND(A117&gt;=1.6,A118&lt;&gt;""),0.5*(B117+B118)*0.2,"")</f>
        <v/>
      </c>
    </row>
    <row r="118">
      <c r="A118" s="5" t="n">
        <v>22.4</v>
      </c>
      <c r="B118" s="6" t="n">
        <v>0.0101</v>
      </c>
      <c r="C118" s="8">
        <f>IF(A118&gt;=1.6,A118-1.6,"")</f>
        <v/>
      </c>
      <c r="D118" s="8">
        <f>IF(AND(A118&gt;=1.6,B118&gt;0.02),LN(B118),"")</f>
        <v/>
      </c>
      <c r="E118" s="8">
        <f>IF(AND(A118&gt;=1.6,A119&lt;&gt;""),0.5*(B118+B119)*0.2,"")</f>
        <v/>
      </c>
    </row>
    <row r="119">
      <c r="A119" s="5" t="n">
        <v>22.6</v>
      </c>
      <c r="B119" s="6" t="n">
        <v>0.0092</v>
      </c>
      <c r="C119" s="8">
        <f>IF(A119&gt;=1.6,A119-1.6,"")</f>
        <v/>
      </c>
      <c r="D119" s="8">
        <f>IF(AND(A119&gt;=1.6,B119&gt;0.02),LN(B119),"")</f>
        <v/>
      </c>
      <c r="E119" s="8">
        <f>IF(AND(A119&gt;=1.6,A120&lt;&gt;""),0.5*(B119+B120)*0.2,"")</f>
        <v/>
      </c>
    </row>
    <row r="120">
      <c r="A120" s="5" t="n">
        <v>22.8</v>
      </c>
      <c r="B120" s="6" t="n">
        <v>0.007</v>
      </c>
      <c r="C120" s="8">
        <f>IF(A120&gt;=1.6,A120-1.6,"")</f>
        <v/>
      </c>
      <c r="D120" s="8">
        <f>IF(AND(A120&gt;=1.6,B120&gt;0.02),LN(B120),"")</f>
        <v/>
      </c>
      <c r="E120" s="8">
        <f>IF(AND(A120&gt;=1.6,A121&lt;&gt;""),0.5*(B120+B121)*0.2,"")</f>
        <v/>
      </c>
    </row>
    <row r="121">
      <c r="A121" s="5" t="n">
        <v>23</v>
      </c>
      <c r="B121" s="6" t="n">
        <v>0.0124</v>
      </c>
      <c r="C121" s="8">
        <f>IF(A121&gt;=1.6,A121-1.6,"")</f>
        <v/>
      </c>
      <c r="D121" s="8">
        <f>IF(AND(A121&gt;=1.6,B121&gt;0.02),LN(B121),"")</f>
        <v/>
      </c>
      <c r="E121" s="8">
        <f>IF(AND(A121&gt;=1.6,A122&lt;&gt;""),0.5*(B121+B122)*0.2,"")</f>
        <v/>
      </c>
    </row>
    <row r="122">
      <c r="A122" s="5" t="n">
        <v>23.2</v>
      </c>
      <c r="B122" s="6" t="n">
        <v>0.009299999999999999</v>
      </c>
      <c r="C122" s="8">
        <f>IF(A122&gt;=1.6,A122-1.6,"")</f>
        <v/>
      </c>
      <c r="D122" s="8">
        <f>IF(AND(A122&gt;=1.6,B122&gt;0.02),LN(B122),"")</f>
        <v/>
      </c>
      <c r="E122" s="8">
        <f>IF(AND(A122&gt;=1.6,A123&lt;&gt;""),0.5*(B122+B123)*0.2,"")</f>
        <v/>
      </c>
    </row>
    <row r="123">
      <c r="A123" s="5" t="n">
        <v>23.4</v>
      </c>
      <c r="B123" s="6" t="n">
        <v>0.0097</v>
      </c>
      <c r="C123" s="8">
        <f>IF(A123&gt;=1.6,A123-1.6,"")</f>
        <v/>
      </c>
      <c r="D123" s="8">
        <f>IF(AND(A123&gt;=1.6,B123&gt;0.02),LN(B123),"")</f>
        <v/>
      </c>
      <c r="E123" s="8">
        <f>IF(AND(A123&gt;=1.6,A124&lt;&gt;""),0.5*(B123+B124)*0.2,"")</f>
        <v/>
      </c>
    </row>
    <row r="124">
      <c r="A124" s="5" t="n">
        <v>23.6</v>
      </c>
      <c r="B124" s="6" t="n">
        <v>0.0041</v>
      </c>
      <c r="C124" s="8">
        <f>IF(A124&gt;=1.6,A124-1.6,"")</f>
        <v/>
      </c>
      <c r="D124" s="8">
        <f>IF(AND(A124&gt;=1.6,B124&gt;0.02),LN(B124),"")</f>
        <v/>
      </c>
      <c r="E124" s="8">
        <f>IF(AND(A124&gt;=1.6,A125&lt;&gt;""),0.5*(B124+B125)*0.2,"")</f>
        <v/>
      </c>
    </row>
    <row r="125">
      <c r="A125" s="5" t="n">
        <v>23.8</v>
      </c>
      <c r="B125" s="6" t="n">
        <v>0.0078</v>
      </c>
      <c r="C125" s="8">
        <f>IF(A125&gt;=1.6,A125-1.6,"")</f>
        <v/>
      </c>
      <c r="D125" s="8">
        <f>IF(AND(A125&gt;=1.6,B125&gt;0.02),LN(B125),"")</f>
        <v/>
      </c>
      <c r="E125" s="8">
        <f>IF(AND(A125&gt;=1.6,A126&lt;&gt;""),0.5*(B125+B126)*0.2,"")</f>
        <v/>
      </c>
    </row>
    <row r="126">
      <c r="A126" s="5" t="n">
        <v>24</v>
      </c>
      <c r="B126" s="6" t="n">
        <v>0.0058</v>
      </c>
      <c r="C126" s="8">
        <f>IF(A126&gt;=1.6,A126-1.6,"")</f>
        <v/>
      </c>
      <c r="D126" s="8">
        <f>IF(AND(A126&gt;=1.6,B126&gt;0.02),LN(B126),"")</f>
        <v/>
      </c>
      <c r="E126" s="8">
        <f>IF(AND(A126&gt;=1.6,A127&lt;&gt;""),0.5*(B126+B127)*0.2,"")</f>
        <v/>
      </c>
    </row>
    <row r="127">
      <c r="A127" s="5" t="n">
        <v>24.2</v>
      </c>
      <c r="B127" s="6" t="n">
        <v>0.0045</v>
      </c>
      <c r="C127" s="8">
        <f>IF(A127&gt;=1.6,A127-1.6,"")</f>
        <v/>
      </c>
      <c r="D127" s="8">
        <f>IF(AND(A127&gt;=1.6,B127&gt;0.02),LN(B127),"")</f>
        <v/>
      </c>
      <c r="E127" s="8">
        <f>IF(AND(A127&gt;=1.6,A128&lt;&gt;""),0.5*(B127+B128)*0.2,"")</f>
        <v/>
      </c>
    </row>
    <row r="128">
      <c r="A128" s="5" t="n">
        <v>24.4</v>
      </c>
      <c r="B128" s="6" t="n">
        <v>0.0069</v>
      </c>
      <c r="C128" s="8">
        <f>IF(A128&gt;=1.6,A128-1.6,"")</f>
        <v/>
      </c>
      <c r="D128" s="8">
        <f>IF(AND(A128&gt;=1.6,B128&gt;0.02),LN(B128),"")</f>
        <v/>
      </c>
      <c r="E128" s="8">
        <f>IF(AND(A128&gt;=1.6,A129&lt;&gt;""),0.5*(B128+B129)*0.2,"")</f>
        <v/>
      </c>
    </row>
    <row r="129">
      <c r="A129" s="5" t="n">
        <v>24.6</v>
      </c>
      <c r="B129" s="6" t="n">
        <v>0.0094</v>
      </c>
      <c r="C129" s="8">
        <f>IF(A129&gt;=1.6,A129-1.6,"")</f>
        <v/>
      </c>
      <c r="D129" s="8">
        <f>IF(AND(A129&gt;=1.6,B129&gt;0.02),LN(B129),"")</f>
        <v/>
      </c>
      <c r="E129" s="8">
        <f>IF(AND(A129&gt;=1.6,A130&lt;&gt;""),0.5*(B129+B130)*0.2,"")</f>
        <v/>
      </c>
    </row>
    <row r="130">
      <c r="A130" s="5" t="n">
        <v>24.8</v>
      </c>
      <c r="B130" s="6" t="n">
        <v>0.0072</v>
      </c>
      <c r="C130" s="8">
        <f>IF(A130&gt;=1.6,A130-1.6,"")</f>
        <v/>
      </c>
      <c r="D130" s="8">
        <f>IF(AND(A130&gt;=1.6,B130&gt;0.02),LN(B130),"")</f>
        <v/>
      </c>
      <c r="E130" s="8">
        <f>IF(AND(A130&gt;=1.6,A131&lt;&gt;""),0.5*(B130+B131)*0.2,"")</f>
        <v/>
      </c>
    </row>
    <row r="131">
      <c r="A131" s="5" t="n">
        <v>25</v>
      </c>
      <c r="B131" s="6" t="n">
        <v>0.0064</v>
      </c>
      <c r="C131" s="8">
        <f>IF(A131&gt;=1.6,A131-1.6,"")</f>
        <v/>
      </c>
      <c r="D131" s="8">
        <f>IF(AND(A131&gt;=1.6,B131&gt;0.02),LN(B131),"")</f>
        <v/>
      </c>
      <c r="E131" s="8">
        <f>IF(AND(A131&gt;=1.6,A132&lt;&gt;""),0.5*(B131+B132)*0.2,"")</f>
        <v/>
      </c>
    </row>
    <row r="132">
      <c r="A132" s="5" t="n">
        <v>25.2</v>
      </c>
      <c r="B132" s="6" t="n">
        <v>0.0043</v>
      </c>
      <c r="C132" s="8">
        <f>IF(A132&gt;=1.6,A132-1.6,"")</f>
        <v/>
      </c>
      <c r="D132" s="8">
        <f>IF(AND(A132&gt;=1.6,B132&gt;0.02),LN(B132),"")</f>
        <v/>
      </c>
      <c r="E132" s="8">
        <f>IF(AND(A132&gt;=1.6,A133&lt;&gt;""),0.5*(B132+B133)*0.2,"")</f>
        <v/>
      </c>
    </row>
    <row r="133">
      <c r="A133" s="5" t="n">
        <v>25.4</v>
      </c>
      <c r="B133" s="6" t="n">
        <v>0.0063</v>
      </c>
      <c r="C133" s="8">
        <f>IF(A133&gt;=1.6,A133-1.6,"")</f>
        <v/>
      </c>
      <c r="D133" s="8">
        <f>IF(AND(A133&gt;=1.6,B133&gt;0.02),LN(B133),"")</f>
        <v/>
      </c>
      <c r="E133" s="8">
        <f>IF(AND(A133&gt;=1.6,A134&lt;&gt;""),0.5*(B133+B134)*0.2,"")</f>
        <v/>
      </c>
    </row>
    <row r="134">
      <c r="A134" s="5" t="n">
        <v>25.6</v>
      </c>
      <c r="B134" s="6" t="n">
        <v>0.0045</v>
      </c>
      <c r="C134" s="8">
        <f>IF(A134&gt;=1.6,A134-1.6,"")</f>
        <v/>
      </c>
      <c r="D134" s="8">
        <f>IF(AND(A134&gt;=1.6,B134&gt;0.02),LN(B134),"")</f>
        <v/>
      </c>
      <c r="E134" s="8">
        <f>IF(AND(A134&gt;=1.6,A135&lt;&gt;""),0.5*(B134+B135)*0.2,"")</f>
        <v/>
      </c>
    </row>
    <row r="135">
      <c r="A135" s="5" t="n">
        <v>25.8</v>
      </c>
      <c r="B135" s="6" t="n">
        <v>0.0072</v>
      </c>
      <c r="C135" s="8">
        <f>IF(A135&gt;=1.6,A135-1.6,"")</f>
        <v/>
      </c>
      <c r="D135" s="8">
        <f>IF(AND(A135&gt;=1.6,B135&gt;0.02),LN(B135),"")</f>
        <v/>
      </c>
      <c r="E135" s="8">
        <f>IF(AND(A135&gt;=1.6,A136&lt;&gt;""),0.5*(B135+B136)*0.2,"")</f>
        <v/>
      </c>
    </row>
    <row r="136">
      <c r="A136" s="5" t="n">
        <v>26</v>
      </c>
      <c r="B136" s="6" t="n">
        <v>0</v>
      </c>
      <c r="C136" s="8">
        <f>IF(A136&gt;=1.6,A136-1.6,"")</f>
        <v/>
      </c>
      <c r="D136" s="8">
        <f>IF(AND(A136&gt;=1.6,B136&gt;0.02),LN(B136),"")</f>
        <v/>
      </c>
      <c r="E136" s="8">
        <f>IF(AND(A136&gt;=1.6,A137&lt;&gt;""),0.5*(B136+B137)*0.2,"")</f>
        <v/>
      </c>
    </row>
    <row r="137">
      <c r="A137" s="5" t="n">
        <v>26.2</v>
      </c>
      <c r="B137" s="6" t="n">
        <v>0.0052</v>
      </c>
      <c r="C137" s="8">
        <f>IF(A137&gt;=1.6,A137-1.6,"")</f>
        <v/>
      </c>
      <c r="D137" s="8">
        <f>IF(AND(A137&gt;=1.6,B137&gt;0.02),LN(B137),"")</f>
        <v/>
      </c>
      <c r="E137" s="8">
        <f>IF(AND(A137&gt;=1.6,A138&lt;&gt;""),0.5*(B137+B138)*0.2,"")</f>
        <v/>
      </c>
    </row>
    <row r="138">
      <c r="A138" s="5" t="n">
        <v>26.4</v>
      </c>
      <c r="B138" s="6" t="n">
        <v>0.0032</v>
      </c>
      <c r="C138" s="8">
        <f>IF(A138&gt;=1.6,A138-1.6,"")</f>
        <v/>
      </c>
      <c r="D138" s="8">
        <f>IF(AND(A138&gt;=1.6,B138&gt;0.02),LN(B138),"")</f>
        <v/>
      </c>
      <c r="E138" s="8">
        <f>IF(AND(A138&gt;=1.6,A139&lt;&gt;""),0.5*(B138+B139)*0.2,"")</f>
        <v/>
      </c>
    </row>
    <row r="139">
      <c r="A139" s="5" t="n">
        <v>26.6</v>
      </c>
      <c r="B139" s="6" t="n">
        <v>0.0057</v>
      </c>
      <c r="C139" s="8">
        <f>IF(A139&gt;=1.6,A139-1.6,"")</f>
        <v/>
      </c>
      <c r="D139" s="8">
        <f>IF(AND(A139&gt;=1.6,B139&gt;0.02),LN(B139),"")</f>
        <v/>
      </c>
      <c r="E139" s="8">
        <f>IF(AND(A139&gt;=1.6,A140&lt;&gt;""),0.5*(B139+B140)*0.2,"")</f>
        <v/>
      </c>
    </row>
    <row r="140">
      <c r="A140" s="5" t="n">
        <v>26.8</v>
      </c>
      <c r="B140" s="6" t="n">
        <v>0.0074</v>
      </c>
      <c r="C140" s="8">
        <f>IF(A140&gt;=1.6,A140-1.6,"")</f>
        <v/>
      </c>
      <c r="D140" s="8">
        <f>IF(AND(A140&gt;=1.6,B140&gt;0.02),LN(B140),"")</f>
        <v/>
      </c>
      <c r="E140" s="8">
        <f>IF(AND(A140&gt;=1.6,A141&lt;&gt;""),0.5*(B140+B141)*0.2,"")</f>
        <v/>
      </c>
    </row>
    <row r="141">
      <c r="A141" s="5" t="n">
        <v>27</v>
      </c>
      <c r="B141" s="6" t="n">
        <v>0.0066</v>
      </c>
      <c r="C141" s="8">
        <f>IF(A141&gt;=1.6,A141-1.6,"")</f>
        <v/>
      </c>
      <c r="D141" s="8">
        <f>IF(AND(A141&gt;=1.6,B141&gt;0.02),LN(B141),"")</f>
        <v/>
      </c>
      <c r="E141" s="8">
        <f>IF(AND(A141&gt;=1.6,A142&lt;&gt;""),0.5*(B141+B142)*0.2,"")</f>
        <v/>
      </c>
    </row>
    <row r="142">
      <c r="A142" s="5" t="n">
        <v>27.2</v>
      </c>
      <c r="B142" s="6" t="n">
        <v>0.0022</v>
      </c>
      <c r="C142" s="8">
        <f>IF(A142&gt;=1.6,A142-1.6,"")</f>
        <v/>
      </c>
      <c r="D142" s="8">
        <f>IF(AND(A142&gt;=1.6,B142&gt;0.02),LN(B142),"")</f>
        <v/>
      </c>
      <c r="E142" s="8">
        <f>IF(AND(A142&gt;=1.6,A143&lt;&gt;""),0.5*(B142+B143)*0.2,"")</f>
        <v/>
      </c>
    </row>
    <row r="143">
      <c r="A143" s="5" t="n">
        <v>27.4</v>
      </c>
      <c r="B143" s="6" t="n">
        <v>0.0014</v>
      </c>
      <c r="C143" s="8">
        <f>IF(A143&gt;=1.6,A143-1.6,"")</f>
        <v/>
      </c>
      <c r="D143" s="8">
        <f>IF(AND(A143&gt;=1.6,B143&gt;0.02),LN(B143),"")</f>
        <v/>
      </c>
      <c r="E143" s="8">
        <f>IF(AND(A143&gt;=1.6,A144&lt;&gt;""),0.5*(B143+B144)*0.2,"")</f>
        <v/>
      </c>
    </row>
    <row r="144">
      <c r="A144" s="5" t="n">
        <v>27.6</v>
      </c>
      <c r="B144" s="6" t="n">
        <v>0.0039</v>
      </c>
      <c r="C144" s="8">
        <f>IF(A144&gt;=1.6,A144-1.6,"")</f>
        <v/>
      </c>
      <c r="D144" s="8">
        <f>IF(AND(A144&gt;=1.6,B144&gt;0.02),LN(B144),"")</f>
        <v/>
      </c>
      <c r="E144" s="8">
        <f>IF(AND(A144&gt;=1.6,A145&lt;&gt;""),0.5*(B144+B145)*0.2,"")</f>
        <v/>
      </c>
    </row>
    <row r="145">
      <c r="A145" s="5" t="n">
        <v>27.8</v>
      </c>
      <c r="B145" s="6" t="n">
        <v>0.0035</v>
      </c>
      <c r="C145" s="8">
        <f>IF(A145&gt;=1.6,A145-1.6,"")</f>
        <v/>
      </c>
      <c r="D145" s="8">
        <f>IF(AND(A145&gt;=1.6,B145&gt;0.02),LN(B145),"")</f>
        <v/>
      </c>
      <c r="E145" s="8">
        <f>IF(AND(A145&gt;=1.6,A146&lt;&gt;""),0.5*(B145+B146)*0.2,"")</f>
        <v/>
      </c>
    </row>
    <row r="146">
      <c r="A146" s="5" t="n">
        <v>28</v>
      </c>
      <c r="B146" s="6" t="n">
        <v>0.0016</v>
      </c>
      <c r="C146" s="8">
        <f>IF(A146&gt;=1.6,A146-1.6,"")</f>
        <v/>
      </c>
      <c r="D146" s="8">
        <f>IF(AND(A146&gt;=1.6,B146&gt;0.02),LN(B146),"")</f>
        <v/>
      </c>
      <c r="E146" s="8">
        <f>IF(AND(A146&gt;=1.6,A147&lt;&gt;""),0.5*(B146+B147)*0.2,"")</f>
        <v/>
      </c>
    </row>
    <row r="147">
      <c r="A147" s="5" t="n">
        <v>28.2</v>
      </c>
      <c r="B147" s="6" t="n">
        <v>0.0016</v>
      </c>
      <c r="C147" s="8">
        <f>IF(A147&gt;=1.6,A147-1.6,"")</f>
        <v/>
      </c>
      <c r="D147" s="8">
        <f>IF(AND(A147&gt;=1.6,B147&gt;0.02),LN(B147),"")</f>
        <v/>
      </c>
      <c r="E147" s="8">
        <f>IF(AND(A147&gt;=1.6,A148&lt;&gt;""),0.5*(B147+B148)*0.2,"")</f>
        <v/>
      </c>
    </row>
    <row r="148">
      <c r="A148" s="5" t="n">
        <v>28.4</v>
      </c>
      <c r="B148" s="6" t="n">
        <v>0.0015</v>
      </c>
      <c r="C148" s="8">
        <f>IF(A148&gt;=1.6,A148-1.6,"")</f>
        <v/>
      </c>
      <c r="D148" s="8">
        <f>IF(AND(A148&gt;=1.6,B148&gt;0.02),LN(B148),"")</f>
        <v/>
      </c>
      <c r="E148" s="8">
        <f>IF(AND(A148&gt;=1.6,A149&lt;&gt;""),0.5*(B148+B149)*0.2,"")</f>
        <v/>
      </c>
    </row>
    <row r="149">
      <c r="A149" s="5" t="n">
        <v>28.6</v>
      </c>
      <c r="B149" s="6" t="n">
        <v>0.0058</v>
      </c>
      <c r="C149" s="8">
        <f>IF(A149&gt;=1.6,A149-1.6,"")</f>
        <v/>
      </c>
      <c r="D149" s="8">
        <f>IF(AND(A149&gt;=1.6,B149&gt;0.02),LN(B149),"")</f>
        <v/>
      </c>
      <c r="E149" s="8">
        <f>IF(AND(A149&gt;=1.6,A150&lt;&gt;""),0.5*(B149+B150)*0.2,"")</f>
        <v/>
      </c>
    </row>
    <row r="150">
      <c r="A150" s="5" t="n">
        <v>28.8</v>
      </c>
      <c r="B150" s="6" t="n">
        <v>0.0045</v>
      </c>
      <c r="C150" s="8">
        <f>IF(A150&gt;=1.6,A150-1.6,"")</f>
        <v/>
      </c>
      <c r="D150" s="8">
        <f>IF(AND(A150&gt;=1.6,B150&gt;0.02),LN(B150),"")</f>
        <v/>
      </c>
      <c r="E150" s="8">
        <f>IF(AND(A150&gt;=1.6,A151&lt;&gt;""),0.5*(B150+B151)*0.2,"")</f>
        <v/>
      </c>
    </row>
    <row r="151">
      <c r="A151" s="5" t="n">
        <v>29</v>
      </c>
      <c r="B151" s="6" t="n">
        <v>0.005</v>
      </c>
      <c r="C151" s="8">
        <f>IF(A151&gt;=1.6,A151-1.6,"")</f>
        <v/>
      </c>
      <c r="D151" s="8">
        <f>IF(AND(A151&gt;=1.6,B151&gt;0.02),LN(B151),"")</f>
        <v/>
      </c>
      <c r="E151" s="8">
        <f>IF(AND(A151&gt;=1.6,A152&lt;&gt;""),0.5*(B151+B152)*0.2,"")</f>
        <v/>
      </c>
    </row>
    <row r="152">
      <c r="A152" s="5" t="n">
        <v>29.2</v>
      </c>
      <c r="B152" s="6" t="n">
        <v>0.004</v>
      </c>
      <c r="C152" s="8">
        <f>IF(A152&gt;=1.6,A152-1.6,"")</f>
        <v/>
      </c>
      <c r="D152" s="8">
        <f>IF(AND(A152&gt;=1.6,B152&gt;0.02),LN(B152),"")</f>
        <v/>
      </c>
      <c r="E152" s="8">
        <f>IF(AND(A152&gt;=1.6,A153&lt;&gt;""),0.5*(B152+B153)*0.2,"")</f>
        <v/>
      </c>
    </row>
    <row r="153">
      <c r="A153" s="5" t="n">
        <v>29.4</v>
      </c>
      <c r="B153" s="6" t="n">
        <v>0.0017</v>
      </c>
      <c r="C153" s="8">
        <f>IF(A153&gt;=1.6,A153-1.6,"")</f>
        <v/>
      </c>
      <c r="D153" s="8">
        <f>IF(AND(A153&gt;=1.6,B153&gt;0.02),LN(B153),"")</f>
        <v/>
      </c>
      <c r="E153" s="8">
        <f>IF(AND(A153&gt;=1.6,A154&lt;&gt;""),0.5*(B153+B154)*0.2,"")</f>
        <v/>
      </c>
    </row>
    <row r="154">
      <c r="A154" s="5" t="n">
        <v>29.6</v>
      </c>
      <c r="B154" s="6" t="n">
        <v>0.003</v>
      </c>
      <c r="C154" s="8">
        <f>IF(A154&gt;=1.6,A154-1.6,"")</f>
        <v/>
      </c>
      <c r="D154" s="8">
        <f>IF(AND(A154&gt;=1.6,B154&gt;0.02),LN(B154),"")</f>
        <v/>
      </c>
      <c r="E154" s="8">
        <f>IF(AND(A154&gt;=1.6,A155&lt;&gt;""),0.5*(B154+B155)*0.2,"")</f>
        <v/>
      </c>
    </row>
    <row r="155">
      <c r="A155" s="5" t="n">
        <v>29.8</v>
      </c>
      <c r="B155" s="6" t="n">
        <v>0.0019</v>
      </c>
      <c r="C155" s="8">
        <f>IF(A155&gt;=1.6,A155-1.6,"")</f>
        <v/>
      </c>
      <c r="D155" s="8">
        <f>IF(AND(A155&gt;=1.6,B155&gt;0.02),LN(B155),"")</f>
        <v/>
      </c>
      <c r="E155" s="8">
        <f>IF(AND(A155&gt;=1.6,A156&lt;&gt;""),0.5*(B155+B156)*0.2,"")</f>
        <v/>
      </c>
    </row>
    <row r="156">
      <c r="A156" s="5" t="n">
        <v>30</v>
      </c>
      <c r="B156" s="6" t="n">
        <v>0.0025</v>
      </c>
      <c r="C156" s="8">
        <f>IF(A156&gt;=1.6,A156-1.6,"")</f>
        <v/>
      </c>
      <c r="D156" s="8">
        <f>IF(AND(A156&gt;=1.6,B156&gt;0.02),LN(B156),"")</f>
        <v/>
      </c>
      <c r="E156" s="8">
        <f>IF(AND(A156&gt;=1.6,A157&lt;&gt;""),0.5*(B156+B157)*0.2,"")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2026-10-18T22:22:15Z</dcterms:created>
  <dcterms:modified xmlns:dcterms="http://purl.org/dc/terms/" xmlns:xsi="http://www.w3.org/2001/XMLSchema-instance" xsi:type="dcterms:W3CDTF">2026-10-18T22:22:15Z</dcterms:modified>
</cp:coreProperties>
</file>