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  <font>
      <i val="1"/>
      <color rgb="001D2A44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 against e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'Suggested solution'!$D$6:$D$67</f>
            </numRef>
          </xVal>
          <yVal>
            <numRef>
              <f>'Suggested solution'!$C$6:$C$67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/ 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 / 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</cols>
  <sheetData>
    <row r="1">
      <c r="A1" s="1" t="inlineStr">
        <is>
          <t>VJC Q2(c) – Loading and unloading data (practice dataset)</t>
        </is>
      </c>
    </row>
    <row r="2">
      <c r="A2" s="2" t="inlineStr">
        <is>
          <t>L₀ = 8.6 cm. Compute e = L − L₀ and plot F against e. Energy lost = area under loading − area under unloading.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process</t>
        </is>
      </c>
      <c r="B5" s="4" t="inlineStr">
        <is>
          <t>L / m</t>
        </is>
      </c>
      <c r="C5" s="4" t="inlineStr">
        <is>
          <t>F / N</t>
        </is>
      </c>
      <c r="D5" s="4" t="inlineStr">
        <is>
          <t>e / m</t>
        </is>
      </c>
      <c r="E5" s="4" t="inlineStr">
        <is>
          <t>strip area / J</t>
        </is>
      </c>
    </row>
    <row r="6">
      <c r="A6" s="5" t="inlineStr">
        <is>
          <t>loading</t>
        </is>
      </c>
      <c r="B6" s="6" t="n">
        <v>0.08599999999999999</v>
      </c>
      <c r="C6" s="6" t="n">
        <v>0</v>
      </c>
      <c r="D6" s="7" t="n"/>
      <c r="E6" s="7" t="n"/>
    </row>
    <row r="7">
      <c r="A7" s="5" t="inlineStr">
        <is>
          <t>loading</t>
        </is>
      </c>
      <c r="B7" s="6" t="n">
        <v>0.091</v>
      </c>
      <c r="C7" s="6" t="n">
        <v>0.109</v>
      </c>
      <c r="D7" s="7" t="n"/>
      <c r="E7" s="7" t="n"/>
    </row>
    <row r="8">
      <c r="A8" s="5" t="inlineStr">
        <is>
          <t>loading</t>
        </is>
      </c>
      <c r="B8" s="6" t="n">
        <v>0.096</v>
      </c>
      <c r="C8" s="6" t="n">
        <v>0.222</v>
      </c>
      <c r="D8" s="7" t="n"/>
      <c r="E8" s="7" t="n"/>
    </row>
    <row r="9">
      <c r="A9" s="5" t="inlineStr">
        <is>
          <t>loading</t>
        </is>
      </c>
      <c r="B9" s="6" t="n">
        <v>0.101</v>
      </c>
      <c r="C9" s="6" t="n">
        <v>0.335</v>
      </c>
      <c r="D9" s="7" t="n"/>
      <c r="E9" s="7" t="n"/>
    </row>
    <row r="10">
      <c r="A10" s="5" t="inlineStr">
        <is>
          <t>loading</t>
        </is>
      </c>
      <c r="B10" s="6" t="n">
        <v>0.106</v>
      </c>
      <c r="C10" s="6" t="n">
        <v>0.447</v>
      </c>
      <c r="D10" s="7" t="n"/>
      <c r="E10" s="7" t="n"/>
    </row>
    <row r="11">
      <c r="A11" s="5" t="inlineStr">
        <is>
          <t>loading</t>
        </is>
      </c>
      <c r="B11" s="6" t="n">
        <v>0.111</v>
      </c>
      <c r="C11" s="6" t="n">
        <v>0.5629999999999999</v>
      </c>
      <c r="D11" s="7" t="n"/>
      <c r="E11" s="7" t="n"/>
    </row>
    <row r="12">
      <c r="A12" s="5" t="inlineStr">
        <is>
          <t>loading</t>
        </is>
      </c>
      <c r="B12" s="6" t="n">
        <v>0.116</v>
      </c>
      <c r="C12" s="6" t="n">
        <v>0.6840000000000001</v>
      </c>
      <c r="D12" s="7" t="n"/>
      <c r="E12" s="7" t="n"/>
    </row>
    <row r="13">
      <c r="A13" s="5" t="inlineStr">
        <is>
          <t>loading</t>
        </is>
      </c>
      <c r="B13" s="6" t="n">
        <v>0.121</v>
      </c>
      <c r="C13" s="6" t="n">
        <v>0.8</v>
      </c>
      <c r="D13" s="7" t="n"/>
      <c r="E13" s="7" t="n"/>
    </row>
    <row r="14">
      <c r="A14" s="5" t="inlineStr">
        <is>
          <t>loading</t>
        </is>
      </c>
      <c r="B14" s="6" t="n">
        <v>0.126</v>
      </c>
      <c r="C14" s="6" t="n">
        <v>0.931</v>
      </c>
      <c r="D14" s="7" t="n"/>
      <c r="E14" s="7" t="n"/>
    </row>
    <row r="15">
      <c r="A15" s="5" t="inlineStr">
        <is>
          <t>loading</t>
        </is>
      </c>
      <c r="B15" s="6" t="n">
        <v>0.131</v>
      </c>
      <c r="C15" s="6" t="n">
        <v>1.064</v>
      </c>
      <c r="D15" s="7" t="n"/>
      <c r="E15" s="7" t="n"/>
    </row>
    <row r="16">
      <c r="A16" s="5" t="inlineStr">
        <is>
          <t>loading</t>
        </is>
      </c>
      <c r="B16" s="6" t="n">
        <v>0.136</v>
      </c>
      <c r="C16" s="6" t="n">
        <v>1.213</v>
      </c>
      <c r="D16" s="7" t="n"/>
      <c r="E16" s="7" t="n"/>
    </row>
    <row r="17">
      <c r="A17" s="5" t="inlineStr">
        <is>
          <t>loading</t>
        </is>
      </c>
      <c r="B17" s="6" t="n">
        <v>0.141</v>
      </c>
      <c r="C17" s="6" t="n">
        <v>1.345</v>
      </c>
      <c r="D17" s="7" t="n"/>
      <c r="E17" s="7" t="n"/>
    </row>
    <row r="18">
      <c r="A18" s="5" t="inlineStr">
        <is>
          <t>loading</t>
        </is>
      </c>
      <c r="B18" s="6" t="n">
        <v>0.146</v>
      </c>
      <c r="C18" s="6" t="n">
        <v>1.496</v>
      </c>
      <c r="D18" s="7" t="n"/>
      <c r="E18" s="7" t="n"/>
    </row>
    <row r="19">
      <c r="A19" s="5" t="inlineStr">
        <is>
          <t>loading</t>
        </is>
      </c>
      <c r="B19" s="6" t="n">
        <v>0.151</v>
      </c>
      <c r="C19" s="6" t="n">
        <v>1.644</v>
      </c>
      <c r="D19" s="7" t="n"/>
      <c r="E19" s="7" t="n"/>
    </row>
    <row r="20">
      <c r="A20" s="5" t="inlineStr">
        <is>
          <t>loading</t>
        </is>
      </c>
      <c r="B20" s="6" t="n">
        <v>0.156</v>
      </c>
      <c r="C20" s="6" t="n">
        <v>1.791</v>
      </c>
      <c r="D20" s="7" t="n"/>
      <c r="E20" s="7" t="n"/>
    </row>
    <row r="21">
      <c r="A21" s="5" t="inlineStr">
        <is>
          <t>loading</t>
        </is>
      </c>
      <c r="B21" s="6" t="n">
        <v>0.161</v>
      </c>
      <c r="C21" s="6" t="n">
        <v>1.976</v>
      </c>
      <c r="D21" s="7" t="n"/>
      <c r="E21" s="7" t="n"/>
    </row>
    <row r="22">
      <c r="A22" s="5" t="inlineStr">
        <is>
          <t>loading</t>
        </is>
      </c>
      <c r="B22" s="6" t="n">
        <v>0.166</v>
      </c>
      <c r="C22" s="6" t="n">
        <v>2.157</v>
      </c>
      <c r="D22" s="7" t="n"/>
      <c r="E22" s="7" t="n"/>
    </row>
    <row r="23">
      <c r="A23" s="5" t="inlineStr">
        <is>
          <t>loading</t>
        </is>
      </c>
      <c r="B23" s="6" t="n">
        <v>0.171</v>
      </c>
      <c r="C23" s="6" t="n">
        <v>2.355</v>
      </c>
      <c r="D23" s="7" t="n"/>
      <c r="E23" s="7" t="n"/>
    </row>
    <row r="24">
      <c r="A24" s="5" t="inlineStr">
        <is>
          <t>loading</t>
        </is>
      </c>
      <c r="B24" s="6" t="n">
        <v>0.176</v>
      </c>
      <c r="C24" s="6" t="n">
        <v>2.524</v>
      </c>
      <c r="D24" s="7" t="n"/>
      <c r="E24" s="7" t="n"/>
    </row>
    <row r="25">
      <c r="A25" s="5" t="inlineStr">
        <is>
          <t>loading</t>
        </is>
      </c>
      <c r="B25" s="6" t="n">
        <v>0.181</v>
      </c>
      <c r="C25" s="6" t="n">
        <v>2.737</v>
      </c>
      <c r="D25" s="7" t="n"/>
      <c r="E25" s="7" t="n"/>
    </row>
    <row r="26">
      <c r="A26" s="5" t="inlineStr">
        <is>
          <t>loading</t>
        </is>
      </c>
      <c r="B26" s="6" t="n">
        <v>0.186</v>
      </c>
      <c r="C26" s="6" t="n">
        <v>2.962</v>
      </c>
      <c r="D26" s="7" t="n"/>
      <c r="E26" s="7" t="n"/>
    </row>
    <row r="27">
      <c r="A27" s="5" t="inlineStr">
        <is>
          <t>loading</t>
        </is>
      </c>
      <c r="B27" s="6" t="n">
        <v>0.191</v>
      </c>
      <c r="C27" s="6" t="n">
        <v>3.144</v>
      </c>
      <c r="D27" s="7" t="n"/>
      <c r="E27" s="7" t="n"/>
    </row>
    <row r="28">
      <c r="A28" s="5" t="inlineStr">
        <is>
          <t>loading</t>
        </is>
      </c>
      <c r="B28" s="6" t="n">
        <v>0.196</v>
      </c>
      <c r="C28" s="6" t="n">
        <v>3.414</v>
      </c>
      <c r="D28" s="7" t="n"/>
      <c r="E28" s="7" t="n"/>
    </row>
    <row r="29">
      <c r="A29" s="5" t="inlineStr">
        <is>
          <t>loading</t>
        </is>
      </c>
      <c r="B29" s="6" t="n">
        <v>0.201</v>
      </c>
      <c r="C29" s="6" t="n">
        <v>3.628</v>
      </c>
      <c r="D29" s="7" t="n"/>
      <c r="E29" s="7" t="n"/>
    </row>
    <row r="30">
      <c r="A30" s="5" t="inlineStr">
        <is>
          <t>loading</t>
        </is>
      </c>
      <c r="B30" s="6" t="n">
        <v>0.206</v>
      </c>
      <c r="C30" s="6" t="n">
        <v>3.885</v>
      </c>
      <c r="D30" s="7" t="n"/>
      <c r="E30" s="7" t="n"/>
    </row>
    <row r="31">
      <c r="A31" s="5" t="inlineStr">
        <is>
          <t>loading</t>
        </is>
      </c>
      <c r="B31" s="6" t="n">
        <v>0.211</v>
      </c>
      <c r="C31" s="6" t="n">
        <v>4.126</v>
      </c>
      <c r="D31" s="7" t="n"/>
      <c r="E31" s="7" t="n"/>
    </row>
    <row r="32">
      <c r="A32" s="5" t="inlineStr">
        <is>
          <t>loading</t>
        </is>
      </c>
      <c r="B32" s="6" t="n">
        <v>0.216</v>
      </c>
      <c r="C32" s="6" t="n">
        <v>4.42</v>
      </c>
      <c r="D32" s="7" t="n"/>
      <c r="E32" s="7" t="n"/>
    </row>
    <row r="33">
      <c r="A33" s="5" t="inlineStr">
        <is>
          <t>loading</t>
        </is>
      </c>
      <c r="B33" s="6" t="n">
        <v>0.221</v>
      </c>
      <c r="C33" s="6" t="n">
        <v>4.667</v>
      </c>
      <c r="D33" s="7" t="n"/>
      <c r="E33" s="7" t="n"/>
    </row>
    <row r="34">
      <c r="A34" s="5" t="inlineStr">
        <is>
          <t>loading</t>
        </is>
      </c>
      <c r="B34" s="6" t="n">
        <v>0.226</v>
      </c>
      <c r="C34" s="6" t="n">
        <v>4.985</v>
      </c>
      <c r="D34" s="7" t="n"/>
      <c r="E34" s="7" t="n"/>
    </row>
    <row r="35">
      <c r="A35" s="5" t="inlineStr">
        <is>
          <t>loading</t>
        </is>
      </c>
      <c r="B35" s="6" t="n">
        <v>0.231</v>
      </c>
      <c r="C35" s="6" t="n">
        <v>5.27</v>
      </c>
      <c r="D35" s="7" t="n"/>
      <c r="E35" s="7" t="n"/>
    </row>
    <row r="36">
      <c r="A36" s="5" t="inlineStr">
        <is>
          <t>loading</t>
        </is>
      </c>
      <c r="B36" s="6" t="n">
        <v>0.236</v>
      </c>
      <c r="C36" s="6" t="n">
        <v>5.55</v>
      </c>
      <c r="D36" s="7" t="n"/>
      <c r="E36" s="7" t="n"/>
    </row>
    <row r="37">
      <c r="A37" s="5" t="inlineStr">
        <is>
          <t>unloading</t>
        </is>
      </c>
      <c r="B37" s="6" t="n">
        <v>0.236</v>
      </c>
      <c r="C37" s="6" t="n">
        <v>5.55</v>
      </c>
      <c r="D37" s="7" t="n"/>
      <c r="E37" s="7" t="n"/>
    </row>
    <row r="38">
      <c r="A38" s="5" t="inlineStr">
        <is>
          <t>unloading</t>
        </is>
      </c>
      <c r="B38" s="6" t="n">
        <v>0.231</v>
      </c>
      <c r="C38" s="6" t="n">
        <v>5.062</v>
      </c>
      <c r="D38" s="7" t="n"/>
      <c r="E38" s="7" t="n"/>
    </row>
    <row r="39">
      <c r="A39" s="5" t="inlineStr">
        <is>
          <t>unloading</t>
        </is>
      </c>
      <c r="B39" s="6" t="n">
        <v>0.226</v>
      </c>
      <c r="C39" s="6" t="n">
        <v>4.549</v>
      </c>
      <c r="D39" s="7" t="n"/>
      <c r="E39" s="7" t="n"/>
    </row>
    <row r="40">
      <c r="A40" s="5" t="inlineStr">
        <is>
          <t>unloading</t>
        </is>
      </c>
      <c r="B40" s="6" t="n">
        <v>0.221</v>
      </c>
      <c r="C40" s="6" t="n">
        <v>4.108</v>
      </c>
      <c r="D40" s="7" t="n"/>
      <c r="E40" s="7" t="n"/>
    </row>
    <row r="41">
      <c r="A41" s="5" t="inlineStr">
        <is>
          <t>unloading</t>
        </is>
      </c>
      <c r="B41" s="6" t="n">
        <v>0.216</v>
      </c>
      <c r="C41" s="6" t="n">
        <v>3.736</v>
      </c>
      <c r="D41" s="7" t="n"/>
      <c r="E41" s="7" t="n"/>
    </row>
    <row r="42">
      <c r="A42" s="5" t="inlineStr">
        <is>
          <t>unloading</t>
        </is>
      </c>
      <c r="B42" s="6" t="n">
        <v>0.211</v>
      </c>
      <c r="C42" s="6" t="n">
        <v>3.375</v>
      </c>
      <c r="D42" s="7" t="n"/>
      <c r="E42" s="7" t="n"/>
    </row>
    <row r="43">
      <c r="A43" s="5" t="inlineStr">
        <is>
          <t>unloading</t>
        </is>
      </c>
      <c r="B43" s="6" t="n">
        <v>0.206</v>
      </c>
      <c r="C43" s="6" t="n">
        <v>3.021</v>
      </c>
      <c r="D43" s="7" t="n"/>
      <c r="E43" s="7" t="n"/>
    </row>
    <row r="44">
      <c r="A44" s="5" t="inlineStr">
        <is>
          <t>unloading</t>
        </is>
      </c>
      <c r="B44" s="6" t="n">
        <v>0.201</v>
      </c>
      <c r="C44" s="6" t="n">
        <v>2.742</v>
      </c>
      <c r="D44" s="7" t="n"/>
      <c r="E44" s="7" t="n"/>
    </row>
    <row r="45">
      <c r="A45" s="5" t="inlineStr">
        <is>
          <t>unloading</t>
        </is>
      </c>
      <c r="B45" s="6" t="n">
        <v>0.196</v>
      </c>
      <c r="C45" s="6" t="n">
        <v>2.469</v>
      </c>
      <c r="D45" s="7" t="n"/>
      <c r="E45" s="7" t="n"/>
    </row>
    <row r="46">
      <c r="A46" s="5" t="inlineStr">
        <is>
          <t>unloading</t>
        </is>
      </c>
      <c r="B46" s="6" t="n">
        <v>0.191</v>
      </c>
      <c r="C46" s="6" t="n">
        <v>2.22</v>
      </c>
      <c r="D46" s="7" t="n"/>
      <c r="E46" s="7" t="n"/>
    </row>
    <row r="47">
      <c r="A47" s="5" t="inlineStr">
        <is>
          <t>unloading</t>
        </is>
      </c>
      <c r="B47" s="6" t="n">
        <v>0.186</v>
      </c>
      <c r="C47" s="6" t="n">
        <v>2.035</v>
      </c>
      <c r="D47" s="7" t="n"/>
      <c r="E47" s="7" t="n"/>
    </row>
    <row r="48">
      <c r="A48" s="5" t="inlineStr">
        <is>
          <t>unloading</t>
        </is>
      </c>
      <c r="B48" s="6" t="n">
        <v>0.181</v>
      </c>
      <c r="C48" s="6" t="n">
        <v>1.822</v>
      </c>
      <c r="D48" s="7" t="n"/>
      <c r="E48" s="7" t="n"/>
    </row>
    <row r="49">
      <c r="A49" s="5" t="inlineStr">
        <is>
          <t>unloading</t>
        </is>
      </c>
      <c r="B49" s="6" t="n">
        <v>0.176</v>
      </c>
      <c r="C49" s="6" t="n">
        <v>1.636</v>
      </c>
      <c r="D49" s="7" t="n"/>
      <c r="E49" s="7" t="n"/>
    </row>
    <row r="50">
      <c r="A50" s="5" t="inlineStr">
        <is>
          <t>unloading</t>
        </is>
      </c>
      <c r="B50" s="6" t="n">
        <v>0.171</v>
      </c>
      <c r="C50" s="6" t="n">
        <v>1.483</v>
      </c>
      <c r="D50" s="7" t="n"/>
      <c r="E50" s="7" t="n"/>
    </row>
    <row r="51">
      <c r="A51" s="5" t="inlineStr">
        <is>
          <t>unloading</t>
        </is>
      </c>
      <c r="B51" s="6" t="n">
        <v>0.166</v>
      </c>
      <c r="C51" s="6" t="n">
        <v>1.337</v>
      </c>
      <c r="D51" s="7" t="n"/>
      <c r="E51" s="7" t="n"/>
    </row>
    <row r="52">
      <c r="A52" s="5" t="inlineStr">
        <is>
          <t>unloading</t>
        </is>
      </c>
      <c r="B52" s="6" t="n">
        <v>0.161</v>
      </c>
      <c r="C52" s="6" t="n">
        <v>1.191</v>
      </c>
      <c r="D52" s="7" t="n"/>
      <c r="E52" s="7" t="n"/>
    </row>
    <row r="53">
      <c r="A53" s="5" t="inlineStr">
        <is>
          <t>unloading</t>
        </is>
      </c>
      <c r="B53" s="6" t="n">
        <v>0.156</v>
      </c>
      <c r="C53" s="6" t="n">
        <v>1.083</v>
      </c>
      <c r="D53" s="7" t="n"/>
      <c r="E53" s="7" t="n"/>
    </row>
    <row r="54">
      <c r="A54" s="5" t="inlineStr">
        <is>
          <t>unloading</t>
        </is>
      </c>
      <c r="B54" s="6" t="n">
        <v>0.151</v>
      </c>
      <c r="C54" s="6" t="n">
        <v>0.974</v>
      </c>
      <c r="D54" s="7" t="n"/>
      <c r="E54" s="7" t="n"/>
    </row>
    <row r="55">
      <c r="A55" s="5" t="inlineStr">
        <is>
          <t>unloading</t>
        </is>
      </c>
      <c r="B55" s="6" t="n">
        <v>0.146</v>
      </c>
      <c r="C55" s="6" t="n">
        <v>0.864</v>
      </c>
      <c r="D55" s="7" t="n"/>
      <c r="E55" s="7" t="n"/>
    </row>
    <row r="56">
      <c r="A56" s="5" t="inlineStr">
        <is>
          <t>unloading</t>
        </is>
      </c>
      <c r="B56" s="6" t="n">
        <v>0.141</v>
      </c>
      <c r="C56" s="6" t="n">
        <v>0.766</v>
      </c>
      <c r="D56" s="7" t="n"/>
      <c r="E56" s="7" t="n"/>
    </row>
    <row r="57">
      <c r="A57" s="5" t="inlineStr">
        <is>
          <t>unloading</t>
        </is>
      </c>
      <c r="B57" s="6" t="n">
        <v>0.136</v>
      </c>
      <c r="C57" s="6" t="n">
        <v>0.6840000000000001</v>
      </c>
      <c r="D57" s="7" t="n"/>
      <c r="E57" s="7" t="n"/>
    </row>
    <row r="58">
      <c r="A58" s="5" t="inlineStr">
        <is>
          <t>unloading</t>
        </is>
      </c>
      <c r="B58" s="6" t="n">
        <v>0.131</v>
      </c>
      <c r="C58" s="6" t="n">
        <v>0.603</v>
      </c>
      <c r="D58" s="7" t="n"/>
      <c r="E58" s="7" t="n"/>
    </row>
    <row r="59">
      <c r="A59" s="5" t="inlineStr">
        <is>
          <t>unloading</t>
        </is>
      </c>
      <c r="B59" s="6" t="n">
        <v>0.126</v>
      </c>
      <c r="C59" s="6" t="n">
        <v>0.52</v>
      </c>
      <c r="D59" s="7" t="n"/>
      <c r="E59" s="7" t="n"/>
    </row>
    <row r="60">
      <c r="A60" s="5" t="inlineStr">
        <is>
          <t>unloading</t>
        </is>
      </c>
      <c r="B60" s="6" t="n">
        <v>0.121</v>
      </c>
      <c r="C60" s="6" t="n">
        <v>0.453</v>
      </c>
      <c r="D60" s="7" t="n"/>
      <c r="E60" s="7" t="n"/>
    </row>
    <row r="61">
      <c r="A61" s="5" t="inlineStr">
        <is>
          <t>unloading</t>
        </is>
      </c>
      <c r="B61" s="6" t="n">
        <v>0.116</v>
      </c>
      <c r="C61" s="6" t="n">
        <v>0.382</v>
      </c>
      <c r="D61" s="7" t="n"/>
      <c r="E61" s="7" t="n"/>
    </row>
    <row r="62">
      <c r="A62" s="5" t="inlineStr">
        <is>
          <t>unloading</t>
        </is>
      </c>
      <c r="B62" s="6" t="n">
        <v>0.111</v>
      </c>
      <c r="C62" s="6" t="n">
        <v>0.312</v>
      </c>
      <c r="D62" s="7" t="n"/>
      <c r="E62" s="7" t="n"/>
    </row>
    <row r="63">
      <c r="A63" s="5" t="inlineStr">
        <is>
          <t>unloading</t>
        </is>
      </c>
      <c r="B63" s="6" t="n">
        <v>0.106</v>
      </c>
      <c r="C63" s="6" t="n">
        <v>0.244</v>
      </c>
      <c r="D63" s="7" t="n"/>
      <c r="E63" s="7" t="n"/>
    </row>
    <row r="64">
      <c r="A64" s="5" t="inlineStr">
        <is>
          <t>unloading</t>
        </is>
      </c>
      <c r="B64" s="6" t="n">
        <v>0.101</v>
      </c>
      <c r="C64" s="6" t="n">
        <v>0.184</v>
      </c>
      <c r="D64" s="7" t="n"/>
      <c r="E64" s="7" t="n"/>
    </row>
    <row r="65">
      <c r="A65" s="5" t="inlineStr">
        <is>
          <t>unloading</t>
        </is>
      </c>
      <c r="B65" s="6" t="n">
        <v>0.096</v>
      </c>
      <c r="C65" s="6" t="n">
        <v>0.122</v>
      </c>
      <c r="D65" s="7" t="n"/>
      <c r="E65" s="7" t="n"/>
    </row>
    <row r="66">
      <c r="A66" s="5" t="inlineStr">
        <is>
          <t>unloading</t>
        </is>
      </c>
      <c r="B66" s="6" t="n">
        <v>0.091</v>
      </c>
      <c r="C66" s="6" t="n">
        <v>0.061</v>
      </c>
      <c r="D66" s="7" t="n"/>
      <c r="E66" s="7" t="n"/>
    </row>
    <row r="67">
      <c r="A67" s="5" t="inlineStr">
        <is>
          <t>unloading</t>
        </is>
      </c>
      <c r="B67" s="6" t="n">
        <v>0.08599999999999999</v>
      </c>
      <c r="C67" s="6" t="n">
        <v>0</v>
      </c>
      <c r="D67" s="7" t="n"/>
      <c r="E67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30" customWidth="1" min="7" max="7"/>
    <col width="16" customWidth="1" min="8" max="8"/>
    <col width="28" customWidth="1" min="9" max="9"/>
  </cols>
  <sheetData>
    <row r="1">
      <c r="A1" s="1" t="inlineStr">
        <is>
          <t>VJC Q2(c) – Loading and unloading data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process</t>
        </is>
      </c>
      <c r="B5" s="4" t="inlineStr">
        <is>
          <t>L / m</t>
        </is>
      </c>
      <c r="C5" s="4" t="inlineStr">
        <is>
          <t>F / N</t>
        </is>
      </c>
      <c r="D5" s="4" t="inlineStr">
        <is>
          <t>e / m</t>
        </is>
      </c>
      <c r="E5" s="4" t="inlineStr">
        <is>
          <t>strip area / J</t>
        </is>
      </c>
      <c r="G5" s="4" t="inlineStr">
        <is>
          <t>Result</t>
        </is>
      </c>
      <c r="H5" s="4" t="inlineStr">
        <is>
          <t>Value</t>
        </is>
      </c>
      <c r="I5" s="4" t="inlineStr">
        <is>
          <t>Unit / note</t>
        </is>
      </c>
    </row>
    <row r="6">
      <c r="A6" s="5" t="inlineStr">
        <is>
          <t>loading</t>
        </is>
      </c>
      <c r="B6" s="6" t="n">
        <v>0.08599999999999999</v>
      </c>
      <c r="C6" s="6" t="n">
        <v>0</v>
      </c>
      <c r="D6" s="8">
        <f>B6-0.086</f>
        <v/>
      </c>
      <c r="E6" s="8">
        <f>IF(A7=A6,0.5*(C6+C7)*(D7-D6),"")</f>
        <v/>
      </c>
      <c r="G6" s="5" t="inlineStr">
        <is>
          <t>area under loading (Σ strips, loading rows)</t>
        </is>
      </c>
      <c r="H6" s="8">
        <f>SUMIF(A6:A67,"loading",E6:E67)</f>
        <v/>
      </c>
      <c r="I6" s="5" t="inlineStr">
        <is>
          <t>J</t>
        </is>
      </c>
    </row>
    <row r="7">
      <c r="A7" s="5" t="inlineStr">
        <is>
          <t>loading</t>
        </is>
      </c>
      <c r="B7" s="6" t="n">
        <v>0.091</v>
      </c>
      <c r="C7" s="6" t="n">
        <v>0.109</v>
      </c>
      <c r="D7" s="8">
        <f>B7-0.086</f>
        <v/>
      </c>
      <c r="E7" s="8">
        <f>IF(A8=A7,0.5*(C7+C8)*(D8-D7),"")</f>
        <v/>
      </c>
      <c r="G7" s="5" t="inlineStr">
        <is>
          <t>area under unloading (−Σ strips, unloading rows)</t>
        </is>
      </c>
      <c r="H7" s="8">
        <f>-SUMIF(A6:A67,"unloading",E6:E67)</f>
        <v/>
      </c>
      <c r="I7" s="5" t="inlineStr">
        <is>
          <t>J</t>
        </is>
      </c>
    </row>
    <row r="8">
      <c r="A8" s="5" t="inlineStr">
        <is>
          <t>loading</t>
        </is>
      </c>
      <c r="B8" s="6" t="n">
        <v>0.096</v>
      </c>
      <c r="C8" s="6" t="n">
        <v>0.222</v>
      </c>
      <c r="D8" s="8">
        <f>B8-0.086</f>
        <v/>
      </c>
      <c r="E8" s="8">
        <f>IF(A9=A8,0.5*(C8+C9)*(D9-D8),"")</f>
        <v/>
      </c>
      <c r="G8" s="5" t="inlineStr">
        <is>
          <t>energy lost = difference</t>
        </is>
      </c>
      <c r="H8" s="8">
        <f>SUMIF(A6:A67,"loading",E6:E67)+SUMIF(A6:A67,"unloading",E6:E67)</f>
        <v/>
      </c>
      <c r="I8" s="5" t="inlineStr">
        <is>
          <t>J</t>
        </is>
      </c>
    </row>
    <row r="9">
      <c r="A9" s="5" t="inlineStr">
        <is>
          <t>loading</t>
        </is>
      </c>
      <c r="B9" s="6" t="n">
        <v>0.101</v>
      </c>
      <c r="C9" s="6" t="n">
        <v>0.335</v>
      </c>
      <c r="D9" s="8">
        <f>B9-0.086</f>
        <v/>
      </c>
      <c r="E9" s="8">
        <f>IF(A10=A9,0.5*(C9+C10)*(D10-D9),"")</f>
        <v/>
      </c>
    </row>
    <row r="10">
      <c r="A10" s="5" t="inlineStr">
        <is>
          <t>loading</t>
        </is>
      </c>
      <c r="B10" s="6" t="n">
        <v>0.106</v>
      </c>
      <c r="C10" s="6" t="n">
        <v>0.447</v>
      </c>
      <c r="D10" s="8">
        <f>B10-0.086</f>
        <v/>
      </c>
      <c r="E10" s="8">
        <f>IF(A11=A10,0.5*(C10+C11)*(D11-D10),"")</f>
        <v/>
      </c>
      <c r="G10" s="9" t="inlineStr">
        <is>
          <t>The unloading strips come out negative (e decreasing), so adding the two sums gives the loop area.</t>
        </is>
      </c>
    </row>
    <row r="11">
      <c r="A11" s="5" t="inlineStr">
        <is>
          <t>loading</t>
        </is>
      </c>
      <c r="B11" s="6" t="n">
        <v>0.111</v>
      </c>
      <c r="C11" s="6" t="n">
        <v>0.5629999999999999</v>
      </c>
      <c r="D11" s="8">
        <f>B11-0.086</f>
        <v/>
      </c>
      <c r="E11" s="8">
        <f>IF(A12=A11,0.5*(C11+C12)*(D12-D11),"")</f>
        <v/>
      </c>
    </row>
    <row r="12">
      <c r="A12" s="5" t="inlineStr">
        <is>
          <t>loading</t>
        </is>
      </c>
      <c r="B12" s="6" t="n">
        <v>0.116</v>
      </c>
      <c r="C12" s="6" t="n">
        <v>0.6840000000000001</v>
      </c>
      <c r="D12" s="8">
        <f>B12-0.086</f>
        <v/>
      </c>
      <c r="E12" s="8">
        <f>IF(A13=A12,0.5*(C12+C13)*(D13-D12),"")</f>
        <v/>
      </c>
    </row>
    <row r="13">
      <c r="A13" s="5" t="inlineStr">
        <is>
          <t>loading</t>
        </is>
      </c>
      <c r="B13" s="6" t="n">
        <v>0.121</v>
      </c>
      <c r="C13" s="6" t="n">
        <v>0.8</v>
      </c>
      <c r="D13" s="8">
        <f>B13-0.086</f>
        <v/>
      </c>
      <c r="E13" s="8">
        <f>IF(A14=A13,0.5*(C13+C14)*(D14-D13),"")</f>
        <v/>
      </c>
    </row>
    <row r="14">
      <c r="A14" s="5" t="inlineStr">
        <is>
          <t>loading</t>
        </is>
      </c>
      <c r="B14" s="6" t="n">
        <v>0.126</v>
      </c>
      <c r="C14" s="6" t="n">
        <v>0.931</v>
      </c>
      <c r="D14" s="8">
        <f>B14-0.086</f>
        <v/>
      </c>
      <c r="E14" s="8">
        <f>IF(A15=A14,0.5*(C14+C15)*(D15-D14),"")</f>
        <v/>
      </c>
    </row>
    <row r="15">
      <c r="A15" s="5" t="inlineStr">
        <is>
          <t>loading</t>
        </is>
      </c>
      <c r="B15" s="6" t="n">
        <v>0.131</v>
      </c>
      <c r="C15" s="6" t="n">
        <v>1.064</v>
      </c>
      <c r="D15" s="8">
        <f>B15-0.086</f>
        <v/>
      </c>
      <c r="E15" s="8">
        <f>IF(A16=A15,0.5*(C15+C16)*(D16-D15),"")</f>
        <v/>
      </c>
    </row>
    <row r="16">
      <c r="A16" s="5" t="inlineStr">
        <is>
          <t>loading</t>
        </is>
      </c>
      <c r="B16" s="6" t="n">
        <v>0.136</v>
      </c>
      <c r="C16" s="6" t="n">
        <v>1.213</v>
      </c>
      <c r="D16" s="8">
        <f>B16-0.086</f>
        <v/>
      </c>
      <c r="E16" s="8">
        <f>IF(A17=A16,0.5*(C16+C17)*(D17-D16),"")</f>
        <v/>
      </c>
    </row>
    <row r="17">
      <c r="A17" s="5" t="inlineStr">
        <is>
          <t>loading</t>
        </is>
      </c>
      <c r="B17" s="6" t="n">
        <v>0.141</v>
      </c>
      <c r="C17" s="6" t="n">
        <v>1.345</v>
      </c>
      <c r="D17" s="8">
        <f>B17-0.086</f>
        <v/>
      </c>
      <c r="E17" s="8">
        <f>IF(A18=A17,0.5*(C17+C18)*(D18-D17),"")</f>
        <v/>
      </c>
    </row>
    <row r="18">
      <c r="A18" s="5" t="inlineStr">
        <is>
          <t>loading</t>
        </is>
      </c>
      <c r="B18" s="6" t="n">
        <v>0.146</v>
      </c>
      <c r="C18" s="6" t="n">
        <v>1.496</v>
      </c>
      <c r="D18" s="8">
        <f>B18-0.086</f>
        <v/>
      </c>
      <c r="E18" s="8">
        <f>IF(A19=A18,0.5*(C18+C19)*(D19-D18),"")</f>
        <v/>
      </c>
    </row>
    <row r="19">
      <c r="A19" s="5" t="inlineStr">
        <is>
          <t>loading</t>
        </is>
      </c>
      <c r="B19" s="6" t="n">
        <v>0.151</v>
      </c>
      <c r="C19" s="6" t="n">
        <v>1.644</v>
      </c>
      <c r="D19" s="8">
        <f>B19-0.086</f>
        <v/>
      </c>
      <c r="E19" s="8">
        <f>IF(A20=A19,0.5*(C19+C20)*(D20-D19),"")</f>
        <v/>
      </c>
    </row>
    <row r="20">
      <c r="A20" s="5" t="inlineStr">
        <is>
          <t>loading</t>
        </is>
      </c>
      <c r="B20" s="6" t="n">
        <v>0.156</v>
      </c>
      <c r="C20" s="6" t="n">
        <v>1.791</v>
      </c>
      <c r="D20" s="8">
        <f>B20-0.086</f>
        <v/>
      </c>
      <c r="E20" s="8">
        <f>IF(A21=A20,0.5*(C20+C21)*(D21-D20),"")</f>
        <v/>
      </c>
    </row>
    <row r="21">
      <c r="A21" s="5" t="inlineStr">
        <is>
          <t>loading</t>
        </is>
      </c>
      <c r="B21" s="6" t="n">
        <v>0.161</v>
      </c>
      <c r="C21" s="6" t="n">
        <v>1.976</v>
      </c>
      <c r="D21" s="8">
        <f>B21-0.086</f>
        <v/>
      </c>
      <c r="E21" s="8">
        <f>IF(A22=A21,0.5*(C21+C22)*(D22-D21),"")</f>
        <v/>
      </c>
    </row>
    <row r="22">
      <c r="A22" s="5" t="inlineStr">
        <is>
          <t>loading</t>
        </is>
      </c>
      <c r="B22" s="6" t="n">
        <v>0.166</v>
      </c>
      <c r="C22" s="6" t="n">
        <v>2.157</v>
      </c>
      <c r="D22" s="8">
        <f>B22-0.086</f>
        <v/>
      </c>
      <c r="E22" s="8">
        <f>IF(A23=A22,0.5*(C22+C23)*(D23-D22),"")</f>
        <v/>
      </c>
    </row>
    <row r="23">
      <c r="A23" s="5" t="inlineStr">
        <is>
          <t>loading</t>
        </is>
      </c>
      <c r="B23" s="6" t="n">
        <v>0.171</v>
      </c>
      <c r="C23" s="6" t="n">
        <v>2.355</v>
      </c>
      <c r="D23" s="8">
        <f>B23-0.086</f>
        <v/>
      </c>
      <c r="E23" s="8">
        <f>IF(A24=A23,0.5*(C23+C24)*(D24-D23),"")</f>
        <v/>
      </c>
    </row>
    <row r="24">
      <c r="A24" s="5" t="inlineStr">
        <is>
          <t>loading</t>
        </is>
      </c>
      <c r="B24" s="6" t="n">
        <v>0.176</v>
      </c>
      <c r="C24" s="6" t="n">
        <v>2.524</v>
      </c>
      <c r="D24" s="8">
        <f>B24-0.086</f>
        <v/>
      </c>
      <c r="E24" s="8">
        <f>IF(A25=A24,0.5*(C24+C25)*(D25-D24),"")</f>
        <v/>
      </c>
    </row>
    <row r="25">
      <c r="A25" s="5" t="inlineStr">
        <is>
          <t>loading</t>
        </is>
      </c>
      <c r="B25" s="6" t="n">
        <v>0.181</v>
      </c>
      <c r="C25" s="6" t="n">
        <v>2.737</v>
      </c>
      <c r="D25" s="8">
        <f>B25-0.086</f>
        <v/>
      </c>
      <c r="E25" s="8">
        <f>IF(A26=A25,0.5*(C25+C26)*(D26-D25),"")</f>
        <v/>
      </c>
    </row>
    <row r="26">
      <c r="A26" s="5" t="inlineStr">
        <is>
          <t>loading</t>
        </is>
      </c>
      <c r="B26" s="6" t="n">
        <v>0.186</v>
      </c>
      <c r="C26" s="6" t="n">
        <v>2.962</v>
      </c>
      <c r="D26" s="8">
        <f>B26-0.086</f>
        <v/>
      </c>
      <c r="E26" s="8">
        <f>IF(A27=A26,0.5*(C26+C27)*(D27-D26),"")</f>
        <v/>
      </c>
    </row>
    <row r="27">
      <c r="A27" s="5" t="inlineStr">
        <is>
          <t>loading</t>
        </is>
      </c>
      <c r="B27" s="6" t="n">
        <v>0.191</v>
      </c>
      <c r="C27" s="6" t="n">
        <v>3.144</v>
      </c>
      <c r="D27" s="8">
        <f>B27-0.086</f>
        <v/>
      </c>
      <c r="E27" s="8">
        <f>IF(A28=A27,0.5*(C27+C28)*(D28-D27),"")</f>
        <v/>
      </c>
    </row>
    <row r="28">
      <c r="A28" s="5" t="inlineStr">
        <is>
          <t>loading</t>
        </is>
      </c>
      <c r="B28" s="6" t="n">
        <v>0.196</v>
      </c>
      <c r="C28" s="6" t="n">
        <v>3.414</v>
      </c>
      <c r="D28" s="8">
        <f>B28-0.086</f>
        <v/>
      </c>
      <c r="E28" s="8">
        <f>IF(A29=A28,0.5*(C28+C29)*(D29-D28),"")</f>
        <v/>
      </c>
    </row>
    <row r="29">
      <c r="A29" s="5" t="inlineStr">
        <is>
          <t>loading</t>
        </is>
      </c>
      <c r="B29" s="6" t="n">
        <v>0.201</v>
      </c>
      <c r="C29" s="6" t="n">
        <v>3.628</v>
      </c>
      <c r="D29" s="8">
        <f>B29-0.086</f>
        <v/>
      </c>
      <c r="E29" s="8">
        <f>IF(A30=A29,0.5*(C29+C30)*(D30-D29),"")</f>
        <v/>
      </c>
    </row>
    <row r="30">
      <c r="A30" s="5" t="inlineStr">
        <is>
          <t>loading</t>
        </is>
      </c>
      <c r="B30" s="6" t="n">
        <v>0.206</v>
      </c>
      <c r="C30" s="6" t="n">
        <v>3.885</v>
      </c>
      <c r="D30" s="8">
        <f>B30-0.086</f>
        <v/>
      </c>
      <c r="E30" s="8">
        <f>IF(A31=A30,0.5*(C30+C31)*(D31-D30),"")</f>
        <v/>
      </c>
    </row>
    <row r="31">
      <c r="A31" s="5" t="inlineStr">
        <is>
          <t>loading</t>
        </is>
      </c>
      <c r="B31" s="6" t="n">
        <v>0.211</v>
      </c>
      <c r="C31" s="6" t="n">
        <v>4.126</v>
      </c>
      <c r="D31" s="8">
        <f>B31-0.086</f>
        <v/>
      </c>
      <c r="E31" s="8">
        <f>IF(A32=A31,0.5*(C31+C32)*(D32-D31),"")</f>
        <v/>
      </c>
    </row>
    <row r="32">
      <c r="A32" s="5" t="inlineStr">
        <is>
          <t>loading</t>
        </is>
      </c>
      <c r="B32" s="6" t="n">
        <v>0.216</v>
      </c>
      <c r="C32" s="6" t="n">
        <v>4.42</v>
      </c>
      <c r="D32" s="8">
        <f>B32-0.086</f>
        <v/>
      </c>
      <c r="E32" s="8">
        <f>IF(A33=A32,0.5*(C32+C33)*(D33-D32),"")</f>
        <v/>
      </c>
    </row>
    <row r="33">
      <c r="A33" s="5" t="inlineStr">
        <is>
          <t>loading</t>
        </is>
      </c>
      <c r="B33" s="6" t="n">
        <v>0.221</v>
      </c>
      <c r="C33" s="6" t="n">
        <v>4.667</v>
      </c>
      <c r="D33" s="8">
        <f>B33-0.086</f>
        <v/>
      </c>
      <c r="E33" s="8">
        <f>IF(A34=A33,0.5*(C33+C34)*(D34-D33),"")</f>
        <v/>
      </c>
    </row>
    <row r="34">
      <c r="A34" s="5" t="inlineStr">
        <is>
          <t>loading</t>
        </is>
      </c>
      <c r="B34" s="6" t="n">
        <v>0.226</v>
      </c>
      <c r="C34" s="6" t="n">
        <v>4.985</v>
      </c>
      <c r="D34" s="8">
        <f>B34-0.086</f>
        <v/>
      </c>
      <c r="E34" s="8">
        <f>IF(A35=A34,0.5*(C34+C35)*(D35-D34),"")</f>
        <v/>
      </c>
    </row>
    <row r="35">
      <c r="A35" s="5" t="inlineStr">
        <is>
          <t>loading</t>
        </is>
      </c>
      <c r="B35" s="6" t="n">
        <v>0.231</v>
      </c>
      <c r="C35" s="6" t="n">
        <v>5.27</v>
      </c>
      <c r="D35" s="8">
        <f>B35-0.086</f>
        <v/>
      </c>
      <c r="E35" s="8">
        <f>IF(A36=A35,0.5*(C35+C36)*(D36-D35),"")</f>
        <v/>
      </c>
    </row>
    <row r="36">
      <c r="A36" s="5" t="inlineStr">
        <is>
          <t>loading</t>
        </is>
      </c>
      <c r="B36" s="6" t="n">
        <v>0.236</v>
      </c>
      <c r="C36" s="6" t="n">
        <v>5.55</v>
      </c>
      <c r="D36" s="8">
        <f>B36-0.086</f>
        <v/>
      </c>
      <c r="E36" s="8">
        <f>IF(A37=A36,0.5*(C36+C37)*(D37-D36),"")</f>
        <v/>
      </c>
    </row>
    <row r="37">
      <c r="A37" s="5" t="inlineStr">
        <is>
          <t>unloading</t>
        </is>
      </c>
      <c r="B37" s="6" t="n">
        <v>0.236</v>
      </c>
      <c r="C37" s="6" t="n">
        <v>5.55</v>
      </c>
      <c r="D37" s="8">
        <f>B37-0.086</f>
        <v/>
      </c>
      <c r="E37" s="8">
        <f>IF(A38=A37,0.5*(C37+C38)*(D38-D37),"")</f>
        <v/>
      </c>
    </row>
    <row r="38">
      <c r="A38" s="5" t="inlineStr">
        <is>
          <t>unloading</t>
        </is>
      </c>
      <c r="B38" s="6" t="n">
        <v>0.231</v>
      </c>
      <c r="C38" s="6" t="n">
        <v>5.062</v>
      </c>
      <c r="D38" s="8">
        <f>B38-0.086</f>
        <v/>
      </c>
      <c r="E38" s="8">
        <f>IF(A39=A38,0.5*(C38+C39)*(D39-D38),"")</f>
        <v/>
      </c>
    </row>
    <row r="39">
      <c r="A39" s="5" t="inlineStr">
        <is>
          <t>unloading</t>
        </is>
      </c>
      <c r="B39" s="6" t="n">
        <v>0.226</v>
      </c>
      <c r="C39" s="6" t="n">
        <v>4.549</v>
      </c>
      <c r="D39" s="8">
        <f>B39-0.086</f>
        <v/>
      </c>
      <c r="E39" s="8">
        <f>IF(A40=A39,0.5*(C39+C40)*(D40-D39),"")</f>
        <v/>
      </c>
    </row>
    <row r="40">
      <c r="A40" s="5" t="inlineStr">
        <is>
          <t>unloading</t>
        </is>
      </c>
      <c r="B40" s="6" t="n">
        <v>0.221</v>
      </c>
      <c r="C40" s="6" t="n">
        <v>4.108</v>
      </c>
      <c r="D40" s="8">
        <f>B40-0.086</f>
        <v/>
      </c>
      <c r="E40" s="8">
        <f>IF(A41=A40,0.5*(C40+C41)*(D41-D40),"")</f>
        <v/>
      </c>
    </row>
    <row r="41">
      <c r="A41" s="5" t="inlineStr">
        <is>
          <t>unloading</t>
        </is>
      </c>
      <c r="B41" s="6" t="n">
        <v>0.216</v>
      </c>
      <c r="C41" s="6" t="n">
        <v>3.736</v>
      </c>
      <c r="D41" s="8">
        <f>B41-0.086</f>
        <v/>
      </c>
      <c r="E41" s="8">
        <f>IF(A42=A41,0.5*(C41+C42)*(D42-D41),"")</f>
        <v/>
      </c>
    </row>
    <row r="42">
      <c r="A42" s="5" t="inlineStr">
        <is>
          <t>unloading</t>
        </is>
      </c>
      <c r="B42" s="6" t="n">
        <v>0.211</v>
      </c>
      <c r="C42" s="6" t="n">
        <v>3.375</v>
      </c>
      <c r="D42" s="8">
        <f>B42-0.086</f>
        <v/>
      </c>
      <c r="E42" s="8">
        <f>IF(A43=A42,0.5*(C42+C43)*(D43-D42),"")</f>
        <v/>
      </c>
    </row>
    <row r="43">
      <c r="A43" s="5" t="inlineStr">
        <is>
          <t>unloading</t>
        </is>
      </c>
      <c r="B43" s="6" t="n">
        <v>0.206</v>
      </c>
      <c r="C43" s="6" t="n">
        <v>3.021</v>
      </c>
      <c r="D43" s="8">
        <f>B43-0.086</f>
        <v/>
      </c>
      <c r="E43" s="8">
        <f>IF(A44=A43,0.5*(C43+C44)*(D44-D43),"")</f>
        <v/>
      </c>
    </row>
    <row r="44">
      <c r="A44" s="5" t="inlineStr">
        <is>
          <t>unloading</t>
        </is>
      </c>
      <c r="B44" s="6" t="n">
        <v>0.201</v>
      </c>
      <c r="C44" s="6" t="n">
        <v>2.742</v>
      </c>
      <c r="D44" s="8">
        <f>B44-0.086</f>
        <v/>
      </c>
      <c r="E44" s="8">
        <f>IF(A45=A44,0.5*(C44+C45)*(D45-D44),"")</f>
        <v/>
      </c>
    </row>
    <row r="45">
      <c r="A45" s="5" t="inlineStr">
        <is>
          <t>unloading</t>
        </is>
      </c>
      <c r="B45" s="6" t="n">
        <v>0.196</v>
      </c>
      <c r="C45" s="6" t="n">
        <v>2.469</v>
      </c>
      <c r="D45" s="8">
        <f>B45-0.086</f>
        <v/>
      </c>
      <c r="E45" s="8">
        <f>IF(A46=A45,0.5*(C45+C46)*(D46-D45),"")</f>
        <v/>
      </c>
    </row>
    <row r="46">
      <c r="A46" s="5" t="inlineStr">
        <is>
          <t>unloading</t>
        </is>
      </c>
      <c r="B46" s="6" t="n">
        <v>0.191</v>
      </c>
      <c r="C46" s="6" t="n">
        <v>2.22</v>
      </c>
      <c r="D46" s="8">
        <f>B46-0.086</f>
        <v/>
      </c>
      <c r="E46" s="8">
        <f>IF(A47=A46,0.5*(C46+C47)*(D47-D46),"")</f>
        <v/>
      </c>
    </row>
    <row r="47">
      <c r="A47" s="5" t="inlineStr">
        <is>
          <t>unloading</t>
        </is>
      </c>
      <c r="B47" s="6" t="n">
        <v>0.186</v>
      </c>
      <c r="C47" s="6" t="n">
        <v>2.035</v>
      </c>
      <c r="D47" s="8">
        <f>B47-0.086</f>
        <v/>
      </c>
      <c r="E47" s="8">
        <f>IF(A48=A47,0.5*(C47+C48)*(D48-D47),"")</f>
        <v/>
      </c>
    </row>
    <row r="48">
      <c r="A48" s="5" t="inlineStr">
        <is>
          <t>unloading</t>
        </is>
      </c>
      <c r="B48" s="6" t="n">
        <v>0.181</v>
      </c>
      <c r="C48" s="6" t="n">
        <v>1.822</v>
      </c>
      <c r="D48" s="8">
        <f>B48-0.086</f>
        <v/>
      </c>
      <c r="E48" s="8">
        <f>IF(A49=A48,0.5*(C48+C49)*(D49-D48),"")</f>
        <v/>
      </c>
    </row>
    <row r="49">
      <c r="A49" s="5" t="inlineStr">
        <is>
          <t>unloading</t>
        </is>
      </c>
      <c r="B49" s="6" t="n">
        <v>0.176</v>
      </c>
      <c r="C49" s="6" t="n">
        <v>1.636</v>
      </c>
      <c r="D49" s="8">
        <f>B49-0.086</f>
        <v/>
      </c>
      <c r="E49" s="8">
        <f>IF(A50=A49,0.5*(C49+C50)*(D50-D49),"")</f>
        <v/>
      </c>
    </row>
    <row r="50">
      <c r="A50" s="5" t="inlineStr">
        <is>
          <t>unloading</t>
        </is>
      </c>
      <c r="B50" s="6" t="n">
        <v>0.171</v>
      </c>
      <c r="C50" s="6" t="n">
        <v>1.483</v>
      </c>
      <c r="D50" s="8">
        <f>B50-0.086</f>
        <v/>
      </c>
      <c r="E50" s="8">
        <f>IF(A51=A50,0.5*(C50+C51)*(D51-D50),"")</f>
        <v/>
      </c>
    </row>
    <row r="51">
      <c r="A51" s="5" t="inlineStr">
        <is>
          <t>unloading</t>
        </is>
      </c>
      <c r="B51" s="6" t="n">
        <v>0.166</v>
      </c>
      <c r="C51" s="6" t="n">
        <v>1.337</v>
      </c>
      <c r="D51" s="8">
        <f>B51-0.086</f>
        <v/>
      </c>
      <c r="E51" s="8">
        <f>IF(A52=A51,0.5*(C51+C52)*(D52-D51),"")</f>
        <v/>
      </c>
    </row>
    <row r="52">
      <c r="A52" s="5" t="inlineStr">
        <is>
          <t>unloading</t>
        </is>
      </c>
      <c r="B52" s="6" t="n">
        <v>0.161</v>
      </c>
      <c r="C52" s="6" t="n">
        <v>1.191</v>
      </c>
      <c r="D52" s="8">
        <f>B52-0.086</f>
        <v/>
      </c>
      <c r="E52" s="8">
        <f>IF(A53=A52,0.5*(C52+C53)*(D53-D52),"")</f>
        <v/>
      </c>
    </row>
    <row r="53">
      <c r="A53" s="5" t="inlineStr">
        <is>
          <t>unloading</t>
        </is>
      </c>
      <c r="B53" s="6" t="n">
        <v>0.156</v>
      </c>
      <c r="C53" s="6" t="n">
        <v>1.083</v>
      </c>
      <c r="D53" s="8">
        <f>B53-0.086</f>
        <v/>
      </c>
      <c r="E53" s="8">
        <f>IF(A54=A53,0.5*(C53+C54)*(D54-D53),"")</f>
        <v/>
      </c>
    </row>
    <row r="54">
      <c r="A54" s="5" t="inlineStr">
        <is>
          <t>unloading</t>
        </is>
      </c>
      <c r="B54" s="6" t="n">
        <v>0.151</v>
      </c>
      <c r="C54" s="6" t="n">
        <v>0.974</v>
      </c>
      <c r="D54" s="8">
        <f>B54-0.086</f>
        <v/>
      </c>
      <c r="E54" s="8">
        <f>IF(A55=A54,0.5*(C54+C55)*(D55-D54),"")</f>
        <v/>
      </c>
    </row>
    <row r="55">
      <c r="A55" s="5" t="inlineStr">
        <is>
          <t>unloading</t>
        </is>
      </c>
      <c r="B55" s="6" t="n">
        <v>0.146</v>
      </c>
      <c r="C55" s="6" t="n">
        <v>0.864</v>
      </c>
      <c r="D55" s="8">
        <f>B55-0.086</f>
        <v/>
      </c>
      <c r="E55" s="8">
        <f>IF(A56=A55,0.5*(C55+C56)*(D56-D55),"")</f>
        <v/>
      </c>
    </row>
    <row r="56">
      <c r="A56" s="5" t="inlineStr">
        <is>
          <t>unloading</t>
        </is>
      </c>
      <c r="B56" s="6" t="n">
        <v>0.141</v>
      </c>
      <c r="C56" s="6" t="n">
        <v>0.766</v>
      </c>
      <c r="D56" s="8">
        <f>B56-0.086</f>
        <v/>
      </c>
      <c r="E56" s="8">
        <f>IF(A57=A56,0.5*(C56+C57)*(D57-D56),"")</f>
        <v/>
      </c>
    </row>
    <row r="57">
      <c r="A57" s="5" t="inlineStr">
        <is>
          <t>unloading</t>
        </is>
      </c>
      <c r="B57" s="6" t="n">
        <v>0.136</v>
      </c>
      <c r="C57" s="6" t="n">
        <v>0.6840000000000001</v>
      </c>
      <c r="D57" s="8">
        <f>B57-0.086</f>
        <v/>
      </c>
      <c r="E57" s="8">
        <f>IF(A58=A57,0.5*(C57+C58)*(D58-D57),"")</f>
        <v/>
      </c>
    </row>
    <row r="58">
      <c r="A58" s="5" t="inlineStr">
        <is>
          <t>unloading</t>
        </is>
      </c>
      <c r="B58" s="6" t="n">
        <v>0.131</v>
      </c>
      <c r="C58" s="6" t="n">
        <v>0.603</v>
      </c>
      <c r="D58" s="8">
        <f>B58-0.086</f>
        <v/>
      </c>
      <c r="E58" s="8">
        <f>IF(A59=A58,0.5*(C58+C59)*(D59-D58),"")</f>
        <v/>
      </c>
    </row>
    <row r="59">
      <c r="A59" s="5" t="inlineStr">
        <is>
          <t>unloading</t>
        </is>
      </c>
      <c r="B59" s="6" t="n">
        <v>0.126</v>
      </c>
      <c r="C59" s="6" t="n">
        <v>0.52</v>
      </c>
      <c r="D59" s="8">
        <f>B59-0.086</f>
        <v/>
      </c>
      <c r="E59" s="8">
        <f>IF(A60=A59,0.5*(C59+C60)*(D60-D59),"")</f>
        <v/>
      </c>
    </row>
    <row r="60">
      <c r="A60" s="5" t="inlineStr">
        <is>
          <t>unloading</t>
        </is>
      </c>
      <c r="B60" s="6" t="n">
        <v>0.121</v>
      </c>
      <c r="C60" s="6" t="n">
        <v>0.453</v>
      </c>
      <c r="D60" s="8">
        <f>B60-0.086</f>
        <v/>
      </c>
      <c r="E60" s="8">
        <f>IF(A61=A60,0.5*(C60+C61)*(D61-D60),"")</f>
        <v/>
      </c>
    </row>
    <row r="61">
      <c r="A61" s="5" t="inlineStr">
        <is>
          <t>unloading</t>
        </is>
      </c>
      <c r="B61" s="6" t="n">
        <v>0.116</v>
      </c>
      <c r="C61" s="6" t="n">
        <v>0.382</v>
      </c>
      <c r="D61" s="8">
        <f>B61-0.086</f>
        <v/>
      </c>
      <c r="E61" s="8">
        <f>IF(A62=A61,0.5*(C61+C62)*(D62-D61),"")</f>
        <v/>
      </c>
    </row>
    <row r="62">
      <c r="A62" s="5" t="inlineStr">
        <is>
          <t>unloading</t>
        </is>
      </c>
      <c r="B62" s="6" t="n">
        <v>0.111</v>
      </c>
      <c r="C62" s="6" t="n">
        <v>0.312</v>
      </c>
      <c r="D62" s="8">
        <f>B62-0.086</f>
        <v/>
      </c>
      <c r="E62" s="8">
        <f>IF(A63=A62,0.5*(C62+C63)*(D63-D62),"")</f>
        <v/>
      </c>
    </row>
    <row r="63">
      <c r="A63" s="5" t="inlineStr">
        <is>
          <t>unloading</t>
        </is>
      </c>
      <c r="B63" s="6" t="n">
        <v>0.106</v>
      </c>
      <c r="C63" s="6" t="n">
        <v>0.244</v>
      </c>
      <c r="D63" s="8">
        <f>B63-0.086</f>
        <v/>
      </c>
      <c r="E63" s="8">
        <f>IF(A64=A63,0.5*(C63+C64)*(D64-D63),"")</f>
        <v/>
      </c>
    </row>
    <row r="64">
      <c r="A64" s="5" t="inlineStr">
        <is>
          <t>unloading</t>
        </is>
      </c>
      <c r="B64" s="6" t="n">
        <v>0.101</v>
      </c>
      <c r="C64" s="6" t="n">
        <v>0.184</v>
      </c>
      <c r="D64" s="8">
        <f>B64-0.086</f>
        <v/>
      </c>
      <c r="E64" s="8">
        <f>IF(A65=A64,0.5*(C64+C65)*(D65-D64),"")</f>
        <v/>
      </c>
    </row>
    <row r="65">
      <c r="A65" s="5" t="inlineStr">
        <is>
          <t>unloading</t>
        </is>
      </c>
      <c r="B65" s="6" t="n">
        <v>0.096</v>
      </c>
      <c r="C65" s="6" t="n">
        <v>0.122</v>
      </c>
      <c r="D65" s="8">
        <f>B65-0.086</f>
        <v/>
      </c>
      <c r="E65" s="8">
        <f>IF(A66=A65,0.5*(C65+C66)*(D66-D65),"")</f>
        <v/>
      </c>
    </row>
    <row r="66">
      <c r="A66" s="5" t="inlineStr">
        <is>
          <t>unloading</t>
        </is>
      </c>
      <c r="B66" s="6" t="n">
        <v>0.091</v>
      </c>
      <c r="C66" s="6" t="n">
        <v>0.061</v>
      </c>
      <c r="D66" s="8">
        <f>B66-0.086</f>
        <v/>
      </c>
      <c r="E66" s="8">
        <f>IF(A67=A66,0.5*(C66+C67)*(D67-D66),"")</f>
        <v/>
      </c>
    </row>
    <row r="67">
      <c r="A67" s="5" t="inlineStr">
        <is>
          <t>unloading</t>
        </is>
      </c>
      <c r="B67" s="6" t="n">
        <v>0.08599999999999999</v>
      </c>
      <c r="C67" s="6" t="n">
        <v>0</v>
      </c>
      <c r="D67" s="8">
        <f>B67-0.086</f>
        <v/>
      </c>
      <c r="E67" s="8">
        <f>IF(A68=A67,0.5*(C67+C68)*(D68-D67),"")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2026-10-18T22:29:37Z</dcterms:created>
  <dcterms:modified xmlns:dcterms="http://purl.org/dc/terms/" xmlns:xsi="http://www.w3.org/2001/XMLSchema-instance" xsi:type="dcterms:W3CDTF">2026-10-18T22:29:37Z</dcterms:modified>
</cp:coreProperties>
</file>