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ggested 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D2A44"/>
      <sz val="14"/>
    </font>
    <font>
      <i val="1"/>
      <color rgb="0055617A"/>
    </font>
    <font>
      <b val="1"/>
      <color rgb="00FFFFFF"/>
    </font>
    <font>
      <b val="1"/>
      <color rgb="009A5B00"/>
    </font>
    <font>
      <color rgb="001550C8"/>
    </font>
  </fonts>
  <fills count="4">
    <fill>
      <patternFill/>
    </fill>
    <fill>
      <patternFill patternType="gray125"/>
    </fill>
    <fill>
      <patternFill patternType="solid">
        <fgColor rgb="002A4D8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8C4DA"/>
      </left>
      <right style="thin">
        <color rgb="00B8C4DA"/>
      </right>
      <top style="thin">
        <color rgb="00B8C4DA"/>
      </top>
      <bottom style="thin">
        <color rgb="00B8C4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IR against R (coil Y)</a:t>
            </a:r>
          </a:p>
        </rich>
      </tx>
    </title>
    <plotArea>
      <scatterChart>
        <ser>
          <idx val="0"/>
          <order val="0"/>
          <tx>
            <strRef>
              <f>'Suggested solution'!D5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7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'Suggested solution'!$A$6:$A$12</f>
            </numRef>
          </xVal>
          <yVal>
            <numRef>
              <f>'Suggested solution'!$D$6:$D$12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 / Ω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IR / V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10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VJC Q3 – Coils Y and Z (sample data)</t>
        </is>
      </c>
    </row>
    <row r="2">
      <c r="A2" s="2" t="inlineStr">
        <is>
          <t>Plot IR against R for each coil. X = intercept/gradient.</t>
        </is>
      </c>
    </row>
    <row r="4">
      <c r="D4" s="3" t="inlineStr">
        <is>
          <t>Your processing → fill the yellow cells, then plot your own graph.</t>
        </is>
      </c>
    </row>
    <row r="5">
      <c r="A5" s="4" t="inlineStr">
        <is>
          <t>R / Ω</t>
        </is>
      </c>
      <c r="B5" s="4" t="inlineStr">
        <is>
          <t>I (coil Y) / A</t>
        </is>
      </c>
      <c r="C5" s="4" t="inlineStr">
        <is>
          <t>I (coil Z) / A</t>
        </is>
      </c>
      <c r="D5" s="4" t="inlineStr">
        <is>
          <t>IR (Y) / V</t>
        </is>
      </c>
      <c r="E5" s="4" t="inlineStr">
        <is>
          <t>IR (Z) / V</t>
        </is>
      </c>
    </row>
    <row r="6">
      <c r="A6" s="5" t="n">
        <v>15</v>
      </c>
      <c r="B6" s="5" t="n">
        <v>0.209</v>
      </c>
      <c r="C6" s="5" t="n">
        <v>0.394</v>
      </c>
      <c r="D6" s="6" t="n"/>
      <c r="E6" s="6" t="n"/>
    </row>
    <row r="7">
      <c r="A7" s="5" t="n">
        <v>12</v>
      </c>
      <c r="B7" s="5" t="n">
        <v>0.229</v>
      </c>
      <c r="C7" s="5" t="n">
        <v>0.413</v>
      </c>
      <c r="D7" s="6" t="n"/>
      <c r="E7" s="6" t="n"/>
    </row>
    <row r="8">
      <c r="A8" s="5" t="n">
        <v>10</v>
      </c>
      <c r="B8" s="5" t="n">
        <v>0.25</v>
      </c>
      <c r="C8" s="5" t="n">
        <v>0.431</v>
      </c>
      <c r="D8" s="6" t="n"/>
      <c r="E8" s="6" t="n"/>
    </row>
    <row r="9">
      <c r="A9" s="5" t="n">
        <v>8</v>
      </c>
      <c r="B9" s="5" t="n">
        <v>0.282</v>
      </c>
      <c r="C9" s="5" t="n">
        <v>0.462</v>
      </c>
      <c r="D9" s="6" t="n"/>
      <c r="E9" s="6" t="n"/>
    </row>
    <row r="10">
      <c r="A10" s="5" t="n">
        <v>6</v>
      </c>
      <c r="B10" s="5" t="n">
        <v>0.332</v>
      </c>
      <c r="C10" s="5" t="n">
        <v>0.505</v>
      </c>
      <c r="D10" s="6" t="n"/>
      <c r="E10" s="6" t="n"/>
    </row>
    <row r="11">
      <c r="A11" s="5" t="n">
        <v>4</v>
      </c>
      <c r="B11" s="5" t="n">
        <v>0.427</v>
      </c>
      <c r="C11" s="5" t="n">
        <v>0.582</v>
      </c>
      <c r="D11" s="6" t="n"/>
      <c r="E11" s="6" t="n"/>
    </row>
    <row r="12">
      <c r="A12" s="5" t="n">
        <v>2</v>
      </c>
      <c r="B12" s="5" t="n">
        <v>0.668</v>
      </c>
      <c r="C12" s="5" t="n">
        <v>0.794</v>
      </c>
      <c r="D12" s="6" t="n"/>
      <c r="E12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4" customWidth="1" min="5" max="5"/>
    <col width="30" customWidth="1" min="7" max="7"/>
    <col width="16" customWidth="1" min="8" max="8"/>
    <col width="28" customWidth="1" min="9" max="9"/>
  </cols>
  <sheetData>
    <row r="1">
      <c r="A1" s="1" t="inlineStr">
        <is>
          <t>VJC Q3 – Coils Y and Z (sample data)</t>
        </is>
      </c>
    </row>
    <row r="2">
      <c r="A2" s="2" t="inlineStr">
        <is>
          <t>Suggested processing (blue = formulas). Compare your own working on the first tab.</t>
        </is>
      </c>
    </row>
    <row r="5">
      <c r="A5" s="4" t="inlineStr">
        <is>
          <t>R / Ω</t>
        </is>
      </c>
      <c r="B5" s="4" t="inlineStr">
        <is>
          <t>I (coil Y) / A</t>
        </is>
      </c>
      <c r="C5" s="4" t="inlineStr">
        <is>
          <t>I (coil Z) / A</t>
        </is>
      </c>
      <c r="D5" s="4" t="inlineStr">
        <is>
          <t>IR (Y) / V</t>
        </is>
      </c>
      <c r="E5" s="4" t="inlineStr">
        <is>
          <t>IR (Z) / V</t>
        </is>
      </c>
      <c r="G5" s="4" t="inlineStr">
        <is>
          <t>Result</t>
        </is>
      </c>
      <c r="H5" s="4" t="inlineStr">
        <is>
          <t>Value</t>
        </is>
      </c>
      <c r="I5" s="4" t="inlineStr">
        <is>
          <t>Unit / note</t>
        </is>
      </c>
    </row>
    <row r="6">
      <c r="A6" s="5" t="n">
        <v>15</v>
      </c>
      <c r="B6" s="5" t="n">
        <v>0.209</v>
      </c>
      <c r="C6" s="5" t="n">
        <v>0.394</v>
      </c>
      <c r="D6" s="7">
        <f>A6*B6</f>
        <v/>
      </c>
      <c r="E6" s="7">
        <f>A6*C6</f>
        <v/>
      </c>
      <c r="G6" s="5" t="inlineStr">
        <is>
          <t>X_Y = H/G</t>
        </is>
      </c>
      <c r="H6" s="7">
        <f>INTERCEPT(D6:D12,A6:A12)/SLOPE(D6:D12,A6:A12)</f>
        <v/>
      </c>
      <c r="I6" s="5" t="inlineStr">
        <is>
          <t>Ω</t>
        </is>
      </c>
    </row>
    <row r="7">
      <c r="A7" s="5" t="n">
        <v>12</v>
      </c>
      <c r="B7" s="5" t="n">
        <v>0.229</v>
      </c>
      <c r="C7" s="5" t="n">
        <v>0.413</v>
      </c>
      <c r="D7" s="7">
        <f>A7*B7</f>
        <v/>
      </c>
      <c r="E7" s="7">
        <f>A7*C7</f>
        <v/>
      </c>
      <c r="G7" s="5" t="inlineStr">
        <is>
          <t>X_Z = H/G</t>
        </is>
      </c>
      <c r="H7" s="7">
        <f>INTERCEPT(E6:E12,A6:A12)/SLOPE(E6:E12,A6:A12)</f>
        <v/>
      </c>
      <c r="I7" s="5" t="inlineStr">
        <is>
          <t>Ω</t>
        </is>
      </c>
    </row>
    <row r="8">
      <c r="A8" s="5" t="n">
        <v>10</v>
      </c>
      <c r="B8" s="5" t="n">
        <v>0.25</v>
      </c>
      <c r="C8" s="5" t="n">
        <v>0.431</v>
      </c>
      <c r="D8" s="7">
        <f>A8*B8</f>
        <v/>
      </c>
      <c r="E8" s="7">
        <f>A8*C8</f>
        <v/>
      </c>
    </row>
    <row r="9">
      <c r="A9" s="5" t="n">
        <v>8</v>
      </c>
      <c r="B9" s="5" t="n">
        <v>0.282</v>
      </c>
      <c r="C9" s="5" t="n">
        <v>0.462</v>
      </c>
      <c r="D9" s="7">
        <f>A9*B9</f>
        <v/>
      </c>
      <c r="E9" s="7">
        <f>A9*C9</f>
        <v/>
      </c>
    </row>
    <row r="10">
      <c r="A10" s="5" t="n">
        <v>6</v>
      </c>
      <c r="B10" s="5" t="n">
        <v>0.332</v>
      </c>
      <c r="C10" s="5" t="n">
        <v>0.505</v>
      </c>
      <c r="D10" s="7">
        <f>A10*B10</f>
        <v/>
      </c>
      <c r="E10" s="7">
        <f>A10*C10</f>
        <v/>
      </c>
    </row>
    <row r="11">
      <c r="A11" s="5" t="n">
        <v>4</v>
      </c>
      <c r="B11" s="5" t="n">
        <v>0.427</v>
      </c>
      <c r="C11" s="5" t="n">
        <v>0.582</v>
      </c>
      <c r="D11" s="7">
        <f>A11*B11</f>
        <v/>
      </c>
      <c r="E11" s="7">
        <f>A11*C11</f>
        <v/>
      </c>
    </row>
    <row r="12">
      <c r="A12" s="5" t="n">
        <v>2</v>
      </c>
      <c r="B12" s="5" t="n">
        <v>0.668</v>
      </c>
      <c r="C12" s="5" t="n">
        <v>0.794</v>
      </c>
      <c r="D12" s="7">
        <f>A12*B12</f>
        <v/>
      </c>
      <c r="E12" s="7">
        <f>A12*C12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2026-10-18T12:25:29Z</dcterms:created>
  <dcterms:modified xmlns:dcterms="http://purl.org/dc/terms/" xmlns:xsi="http://www.w3.org/2001/XMLSchema-instance" xsi:type="dcterms:W3CDTF">2026-10-18T12:25:29Z</dcterms:modified>
</cp:coreProperties>
</file>