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 I against t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solution'!$A$6:$A$126</f>
            </numRef>
          </xVal>
          <yVal>
            <numRef>
              <f>'Suggested solution'!$C$6:$C$126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ln(I / mA)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</cols>
  <sheetData>
    <row r="1">
      <c r="A1" s="1" t="inlineStr">
        <is>
          <t>TJC Q2(f) – Capacitor discharge (practice dataset)</t>
        </is>
      </c>
    </row>
    <row r="2">
      <c r="A2" s="2" t="inlineStr">
        <is>
          <t>C = 2200 µF, V₀ = 6.0 V. Find τ and Q.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I / mA</t>
        </is>
      </c>
      <c r="C5" s="4" t="inlineStr">
        <is>
          <t>ln(I / mA)</t>
        </is>
      </c>
      <c r="D5" s="4" t="inlineStr">
        <is>
          <t>strip charge / C</t>
        </is>
      </c>
    </row>
    <row r="6">
      <c r="A6" s="5" t="n">
        <v>0</v>
      </c>
      <c r="B6" s="5" t="n">
        <v>1.2743</v>
      </c>
      <c r="C6" s="6" t="n"/>
      <c r="D6" s="6" t="n"/>
    </row>
    <row r="7">
      <c r="A7" s="5" t="n">
        <v>0.5</v>
      </c>
      <c r="B7" s="5" t="n">
        <v>1.2191</v>
      </c>
      <c r="C7" s="6" t="n"/>
      <c r="D7" s="6" t="n"/>
    </row>
    <row r="8">
      <c r="A8" s="5" t="n">
        <v>1</v>
      </c>
      <c r="B8" s="5" t="n">
        <v>1.1603</v>
      </c>
      <c r="C8" s="6" t="n"/>
      <c r="D8" s="6" t="n"/>
    </row>
    <row r="9">
      <c r="A9" s="5" t="n">
        <v>1.5</v>
      </c>
      <c r="B9" s="5" t="n">
        <v>1.1067</v>
      </c>
      <c r="C9" s="6" t="n"/>
      <c r="D9" s="6" t="n"/>
    </row>
    <row r="10">
      <c r="A10" s="5" t="n">
        <v>2</v>
      </c>
      <c r="B10" s="5" t="n">
        <v>1.0521</v>
      </c>
      <c r="C10" s="6" t="n"/>
      <c r="D10" s="6" t="n"/>
    </row>
    <row r="11">
      <c r="A11" s="5" t="n">
        <v>2.5</v>
      </c>
      <c r="B11" s="5" t="n">
        <v>1.0002</v>
      </c>
      <c r="C11" s="6" t="n"/>
      <c r="D11" s="6" t="n"/>
    </row>
    <row r="12">
      <c r="A12" s="5" t="n">
        <v>3</v>
      </c>
      <c r="B12" s="5" t="n">
        <v>0.9544</v>
      </c>
      <c r="C12" s="6" t="n"/>
      <c r="D12" s="6" t="n"/>
    </row>
    <row r="13">
      <c r="A13" s="5" t="n">
        <v>3.5</v>
      </c>
      <c r="B13" s="5" t="n">
        <v>0.906</v>
      </c>
      <c r="C13" s="6" t="n"/>
      <c r="D13" s="6" t="n"/>
    </row>
    <row r="14">
      <c r="A14" s="5" t="n">
        <v>4</v>
      </c>
      <c r="B14" s="5" t="n">
        <v>0.8683999999999999</v>
      </c>
      <c r="C14" s="6" t="n"/>
      <c r="D14" s="6" t="n"/>
    </row>
    <row r="15">
      <c r="A15" s="5" t="n">
        <v>4.5</v>
      </c>
      <c r="B15" s="5" t="n">
        <v>0.8239</v>
      </c>
      <c r="C15" s="6" t="n"/>
      <c r="D15" s="6" t="n"/>
    </row>
    <row r="16">
      <c r="A16" s="5" t="n">
        <v>5</v>
      </c>
      <c r="B16" s="5" t="n">
        <v>0.7844</v>
      </c>
      <c r="C16" s="6" t="n"/>
      <c r="D16" s="6" t="n"/>
    </row>
    <row r="17">
      <c r="A17" s="5" t="n">
        <v>5.5</v>
      </c>
      <c r="B17" s="5" t="n">
        <v>0.7494</v>
      </c>
      <c r="C17" s="6" t="n"/>
      <c r="D17" s="6" t="n"/>
    </row>
    <row r="18">
      <c r="A18" s="5" t="n">
        <v>6</v>
      </c>
      <c r="B18" s="5" t="n">
        <v>0.7133</v>
      </c>
      <c r="C18" s="6" t="n"/>
      <c r="D18" s="6" t="n"/>
    </row>
    <row r="19">
      <c r="A19" s="5" t="n">
        <v>6.5</v>
      </c>
      <c r="B19" s="5" t="n">
        <v>0.6845</v>
      </c>
      <c r="C19" s="6" t="n"/>
      <c r="D19" s="6" t="n"/>
    </row>
    <row r="20">
      <c r="A20" s="5" t="n">
        <v>7</v>
      </c>
      <c r="B20" s="5" t="n">
        <v>0.6516999999999999</v>
      </c>
      <c r="C20" s="6" t="n"/>
      <c r="D20" s="6" t="n"/>
    </row>
    <row r="21">
      <c r="A21" s="5" t="n">
        <v>7.5</v>
      </c>
      <c r="B21" s="5" t="n">
        <v>0.6189</v>
      </c>
      <c r="C21" s="6" t="n"/>
      <c r="D21" s="6" t="n"/>
    </row>
    <row r="22">
      <c r="A22" s="5" t="n">
        <v>8</v>
      </c>
      <c r="B22" s="5" t="n">
        <v>0.5884</v>
      </c>
      <c r="C22" s="6" t="n"/>
      <c r="D22" s="6" t="n"/>
    </row>
    <row r="23">
      <c r="A23" s="5" t="n">
        <v>8.5</v>
      </c>
      <c r="B23" s="5" t="n">
        <v>0.5564</v>
      </c>
      <c r="C23" s="6" t="n"/>
      <c r="D23" s="6" t="n"/>
    </row>
    <row r="24">
      <c r="A24" s="5" t="n">
        <v>9</v>
      </c>
      <c r="B24" s="5" t="n">
        <v>0.536</v>
      </c>
      <c r="C24" s="6" t="n"/>
      <c r="D24" s="6" t="n"/>
    </row>
    <row r="25">
      <c r="A25" s="5" t="n">
        <v>9.5</v>
      </c>
      <c r="B25" s="5" t="n">
        <v>0.5114</v>
      </c>
      <c r="C25" s="6" t="n"/>
      <c r="D25" s="6" t="n"/>
    </row>
    <row r="26">
      <c r="A26" s="5" t="n">
        <v>10</v>
      </c>
      <c r="B26" s="5" t="n">
        <v>0.4856</v>
      </c>
      <c r="C26" s="6" t="n"/>
      <c r="D26" s="6" t="n"/>
    </row>
    <row r="27">
      <c r="A27" s="5" t="n">
        <v>10.5</v>
      </c>
      <c r="B27" s="5" t="n">
        <v>0.462</v>
      </c>
      <c r="C27" s="6" t="n"/>
      <c r="D27" s="6" t="n"/>
    </row>
    <row r="28">
      <c r="A28" s="5" t="n">
        <v>11</v>
      </c>
      <c r="B28" s="5" t="n">
        <v>0.4453</v>
      </c>
      <c r="C28" s="6" t="n"/>
      <c r="D28" s="6" t="n"/>
    </row>
    <row r="29">
      <c r="A29" s="5" t="n">
        <v>11.5</v>
      </c>
      <c r="B29" s="5" t="n">
        <v>0.4213</v>
      </c>
      <c r="C29" s="6" t="n"/>
      <c r="D29" s="6" t="n"/>
    </row>
    <row r="30">
      <c r="A30" s="5" t="n">
        <v>12</v>
      </c>
      <c r="B30" s="5" t="n">
        <v>0.3998</v>
      </c>
      <c r="C30" s="6" t="n"/>
      <c r="D30" s="6" t="n"/>
    </row>
    <row r="31">
      <c r="A31" s="5" t="n">
        <v>12.5</v>
      </c>
      <c r="B31" s="5" t="n">
        <v>0.3832</v>
      </c>
      <c r="C31" s="6" t="n"/>
      <c r="D31" s="6" t="n"/>
    </row>
    <row r="32">
      <c r="A32" s="5" t="n">
        <v>13</v>
      </c>
      <c r="B32" s="5" t="n">
        <v>0.3599</v>
      </c>
      <c r="C32" s="6" t="n"/>
      <c r="D32" s="6" t="n"/>
    </row>
    <row r="33">
      <c r="A33" s="5" t="n">
        <v>13.5</v>
      </c>
      <c r="B33" s="5" t="n">
        <v>0.3429</v>
      </c>
      <c r="C33" s="6" t="n"/>
      <c r="D33" s="6" t="n"/>
    </row>
    <row r="34">
      <c r="A34" s="5" t="n">
        <v>14</v>
      </c>
      <c r="B34" s="5" t="n">
        <v>0.327</v>
      </c>
      <c r="C34" s="6" t="n"/>
      <c r="D34" s="6" t="n"/>
    </row>
    <row r="35">
      <c r="A35" s="5" t="n">
        <v>14.5</v>
      </c>
      <c r="B35" s="5" t="n">
        <v>0.3145</v>
      </c>
      <c r="C35" s="6" t="n"/>
      <c r="D35" s="6" t="n"/>
    </row>
    <row r="36">
      <c r="A36" s="5" t="n">
        <v>15</v>
      </c>
      <c r="B36" s="5" t="n">
        <v>0.3021</v>
      </c>
      <c r="C36" s="6" t="n"/>
      <c r="D36" s="6" t="n"/>
    </row>
    <row r="37">
      <c r="A37" s="5" t="n">
        <v>15.5</v>
      </c>
      <c r="B37" s="5" t="n">
        <v>0.2844</v>
      </c>
      <c r="C37" s="6" t="n"/>
      <c r="D37" s="6" t="n"/>
    </row>
    <row r="38">
      <c r="A38" s="5" t="n">
        <v>16</v>
      </c>
      <c r="B38" s="5" t="n">
        <v>0.2745</v>
      </c>
      <c r="C38" s="6" t="n"/>
      <c r="D38" s="6" t="n"/>
    </row>
    <row r="39">
      <c r="A39" s="5" t="n">
        <v>16.5</v>
      </c>
      <c r="B39" s="5" t="n">
        <v>0.2572</v>
      </c>
      <c r="C39" s="6" t="n"/>
      <c r="D39" s="6" t="n"/>
    </row>
    <row r="40">
      <c r="A40" s="5" t="n">
        <v>17</v>
      </c>
      <c r="B40" s="5" t="n">
        <v>0.2471</v>
      </c>
      <c r="C40" s="6" t="n"/>
      <c r="D40" s="6" t="n"/>
    </row>
    <row r="41">
      <c r="A41" s="5" t="n">
        <v>17.5</v>
      </c>
      <c r="B41" s="5" t="n">
        <v>0.2371</v>
      </c>
      <c r="C41" s="6" t="n"/>
      <c r="D41" s="6" t="n"/>
    </row>
    <row r="42">
      <c r="A42" s="5" t="n">
        <v>18</v>
      </c>
      <c r="B42" s="5" t="n">
        <v>0.2237</v>
      </c>
      <c r="C42" s="6" t="n"/>
      <c r="D42" s="6" t="n"/>
    </row>
    <row r="43">
      <c r="A43" s="5" t="n">
        <v>18.5</v>
      </c>
      <c r="B43" s="5" t="n">
        <v>0.2133</v>
      </c>
      <c r="C43" s="6" t="n"/>
      <c r="D43" s="6" t="n"/>
    </row>
    <row r="44">
      <c r="A44" s="5" t="n">
        <v>19</v>
      </c>
      <c r="B44" s="5" t="n">
        <v>0.2074</v>
      </c>
      <c r="C44" s="6" t="n"/>
      <c r="D44" s="6" t="n"/>
    </row>
    <row r="45">
      <c r="A45" s="5" t="n">
        <v>19.5</v>
      </c>
      <c r="B45" s="5" t="n">
        <v>0.1951</v>
      </c>
      <c r="C45" s="6" t="n"/>
      <c r="D45" s="6" t="n"/>
    </row>
    <row r="46">
      <c r="A46" s="5" t="n">
        <v>20</v>
      </c>
      <c r="B46" s="5" t="n">
        <v>0.1853</v>
      </c>
      <c r="C46" s="6" t="n"/>
      <c r="D46" s="6" t="n"/>
    </row>
    <row r="47">
      <c r="A47" s="5" t="n">
        <v>20.5</v>
      </c>
      <c r="B47" s="5" t="n">
        <v>0.1739</v>
      </c>
      <c r="C47" s="6" t="n"/>
      <c r="D47" s="6" t="n"/>
    </row>
    <row r="48">
      <c r="A48" s="5" t="n">
        <v>21</v>
      </c>
      <c r="B48" s="5" t="n">
        <v>0.1652</v>
      </c>
      <c r="C48" s="6" t="n"/>
      <c r="D48" s="6" t="n"/>
    </row>
    <row r="49">
      <c r="A49" s="5" t="n">
        <v>21.5</v>
      </c>
      <c r="B49" s="5" t="n">
        <v>0.1608</v>
      </c>
      <c r="C49" s="6" t="n"/>
      <c r="D49" s="6" t="n"/>
    </row>
    <row r="50">
      <c r="A50" s="5" t="n">
        <v>22</v>
      </c>
      <c r="B50" s="5" t="n">
        <v>0.1493</v>
      </c>
      <c r="C50" s="6" t="n"/>
      <c r="D50" s="6" t="n"/>
    </row>
    <row r="51">
      <c r="A51" s="5" t="n">
        <v>22.5</v>
      </c>
      <c r="B51" s="5" t="n">
        <v>0.1414</v>
      </c>
      <c r="C51" s="6" t="n"/>
      <c r="D51" s="6" t="n"/>
    </row>
    <row r="52">
      <c r="A52" s="5" t="n">
        <v>23</v>
      </c>
      <c r="B52" s="5" t="n">
        <v>0.1376</v>
      </c>
      <c r="C52" s="6" t="n"/>
      <c r="D52" s="6" t="n"/>
    </row>
    <row r="53">
      <c r="A53" s="5" t="n">
        <v>23.5</v>
      </c>
      <c r="B53" s="5" t="n">
        <v>0.1302</v>
      </c>
      <c r="C53" s="6" t="n"/>
      <c r="D53" s="6" t="n"/>
    </row>
    <row r="54">
      <c r="A54" s="5" t="n">
        <v>24</v>
      </c>
      <c r="B54" s="5" t="n">
        <v>0.1279</v>
      </c>
      <c r="C54" s="6" t="n"/>
      <c r="D54" s="6" t="n"/>
    </row>
    <row r="55">
      <c r="A55" s="5" t="n">
        <v>24.5</v>
      </c>
      <c r="B55" s="5" t="n">
        <v>0.1187</v>
      </c>
      <c r="C55" s="6" t="n"/>
      <c r="D55" s="6" t="n"/>
    </row>
    <row r="56">
      <c r="A56" s="5" t="n">
        <v>25</v>
      </c>
      <c r="B56" s="5" t="n">
        <v>0.1164</v>
      </c>
      <c r="C56" s="6" t="n"/>
      <c r="D56" s="6" t="n"/>
    </row>
    <row r="57">
      <c r="A57" s="5" t="n">
        <v>25.5</v>
      </c>
      <c r="B57" s="5" t="n">
        <v>0.1074</v>
      </c>
      <c r="C57" s="6" t="n"/>
      <c r="D57" s="6" t="n"/>
    </row>
    <row r="58">
      <c r="A58" s="5" t="n">
        <v>26</v>
      </c>
      <c r="B58" s="5" t="n">
        <v>0.1027</v>
      </c>
      <c r="C58" s="6" t="n"/>
      <c r="D58" s="6" t="n"/>
    </row>
    <row r="59">
      <c r="A59" s="5" t="n">
        <v>26.5</v>
      </c>
      <c r="B59" s="5" t="n">
        <v>0.0956</v>
      </c>
      <c r="C59" s="6" t="n"/>
      <c r="D59" s="6" t="n"/>
    </row>
    <row r="60">
      <c r="A60" s="5" t="n">
        <v>27</v>
      </c>
      <c r="B60" s="5" t="n">
        <v>0.0963</v>
      </c>
      <c r="C60" s="6" t="n"/>
      <c r="D60" s="6" t="n"/>
    </row>
    <row r="61">
      <c r="A61" s="5" t="n">
        <v>27.5</v>
      </c>
      <c r="B61" s="5" t="n">
        <v>0.0878</v>
      </c>
      <c r="C61" s="6" t="n"/>
      <c r="D61" s="6" t="n"/>
    </row>
    <row r="62">
      <c r="A62" s="5" t="n">
        <v>28</v>
      </c>
      <c r="B62" s="5" t="n">
        <v>0.0835</v>
      </c>
      <c r="C62" s="6" t="n"/>
      <c r="D62" s="6" t="n"/>
    </row>
    <row r="63">
      <c r="A63" s="5" t="n">
        <v>28.5</v>
      </c>
      <c r="B63" s="5" t="n">
        <v>0.0784</v>
      </c>
      <c r="C63" s="6" t="n"/>
      <c r="D63" s="6" t="n"/>
    </row>
    <row r="64">
      <c r="A64" s="5" t="n">
        <v>29</v>
      </c>
      <c r="B64" s="5" t="n">
        <v>0.0762</v>
      </c>
      <c r="C64" s="6" t="n"/>
      <c r="D64" s="6" t="n"/>
    </row>
    <row r="65">
      <c r="A65" s="5" t="n">
        <v>29.5</v>
      </c>
      <c r="B65" s="5" t="n">
        <v>0.0738</v>
      </c>
      <c r="C65" s="6" t="n"/>
      <c r="D65" s="6" t="n"/>
    </row>
    <row r="66">
      <c r="A66" s="5" t="n">
        <v>30</v>
      </c>
      <c r="B66" s="5" t="n">
        <v>0.0665</v>
      </c>
      <c r="C66" s="6" t="n"/>
      <c r="D66" s="6" t="n"/>
    </row>
    <row r="67">
      <c r="A67" s="5" t="n">
        <v>30.5</v>
      </c>
      <c r="B67" s="5" t="n">
        <v>0.0649</v>
      </c>
      <c r="C67" s="6" t="n"/>
      <c r="D67" s="6" t="n"/>
    </row>
    <row r="68">
      <c r="A68" s="5" t="n">
        <v>31</v>
      </c>
      <c r="B68" s="5" t="n">
        <v>0.0654</v>
      </c>
      <c r="C68" s="6" t="n"/>
      <c r="D68" s="6" t="n"/>
    </row>
    <row r="69">
      <c r="A69" s="5" t="n">
        <v>31.5</v>
      </c>
      <c r="B69" s="5" t="n">
        <v>0.0611</v>
      </c>
      <c r="C69" s="6" t="n"/>
      <c r="D69" s="6" t="n"/>
    </row>
    <row r="70">
      <c r="A70" s="5" t="n">
        <v>32</v>
      </c>
      <c r="B70" s="5" t="n">
        <v>0.0573</v>
      </c>
      <c r="C70" s="6" t="n"/>
      <c r="D70" s="6" t="n"/>
    </row>
    <row r="71">
      <c r="A71" s="5" t="n">
        <v>32.5</v>
      </c>
      <c r="B71" s="5" t="n">
        <v>0.0523</v>
      </c>
      <c r="C71" s="6" t="n"/>
      <c r="D71" s="6" t="n"/>
    </row>
    <row r="72">
      <c r="A72" s="5" t="n">
        <v>33</v>
      </c>
      <c r="B72" s="5" t="n">
        <v>0.0509</v>
      </c>
      <c r="C72" s="6" t="n"/>
      <c r="D72" s="6" t="n"/>
    </row>
    <row r="73">
      <c r="A73" s="5" t="n">
        <v>33.5</v>
      </c>
      <c r="B73" s="5" t="n">
        <v>0.0495</v>
      </c>
      <c r="C73" s="6" t="n"/>
      <c r="D73" s="6" t="n"/>
    </row>
    <row r="74">
      <c r="A74" s="5" t="n">
        <v>34</v>
      </c>
      <c r="B74" s="5" t="n">
        <v>0.0485</v>
      </c>
      <c r="C74" s="6" t="n"/>
      <c r="D74" s="6" t="n"/>
    </row>
    <row r="75">
      <c r="A75" s="5" t="n">
        <v>34.5</v>
      </c>
      <c r="B75" s="5" t="n">
        <v>0.0448</v>
      </c>
      <c r="C75" s="6" t="n"/>
      <c r="D75" s="6" t="n"/>
    </row>
    <row r="76">
      <c r="A76" s="5" t="n">
        <v>35</v>
      </c>
      <c r="B76" s="5" t="n">
        <v>0.0456</v>
      </c>
      <c r="C76" s="6" t="n"/>
      <c r="D76" s="6" t="n"/>
    </row>
    <row r="77">
      <c r="A77" s="5" t="n">
        <v>35.5</v>
      </c>
      <c r="B77" s="5" t="n">
        <v>0.0434</v>
      </c>
      <c r="C77" s="6" t="n"/>
      <c r="D77" s="6" t="n"/>
    </row>
    <row r="78">
      <c r="A78" s="5" t="n">
        <v>36</v>
      </c>
      <c r="B78" s="5" t="n">
        <v>0.0408</v>
      </c>
      <c r="C78" s="6" t="n"/>
      <c r="D78" s="6" t="n"/>
    </row>
    <row r="79">
      <c r="A79" s="5" t="n">
        <v>36.5</v>
      </c>
      <c r="B79" s="5" t="n">
        <v>0.0362</v>
      </c>
      <c r="C79" s="6" t="n"/>
      <c r="D79" s="6" t="n"/>
    </row>
    <row r="80">
      <c r="A80" s="5" t="n">
        <v>37</v>
      </c>
      <c r="B80" s="5" t="n">
        <v>0.0367</v>
      </c>
      <c r="C80" s="6" t="n"/>
      <c r="D80" s="6" t="n"/>
    </row>
    <row r="81">
      <c r="A81" s="5" t="n">
        <v>37.5</v>
      </c>
      <c r="B81" s="5" t="n">
        <v>0.035</v>
      </c>
      <c r="C81" s="6" t="n"/>
      <c r="D81" s="6" t="n"/>
    </row>
    <row r="82">
      <c r="A82" s="5" t="n">
        <v>38</v>
      </c>
      <c r="B82" s="5" t="n">
        <v>0.0316</v>
      </c>
      <c r="C82" s="6" t="n"/>
      <c r="D82" s="6" t="n"/>
    </row>
    <row r="83">
      <c r="A83" s="5" t="n">
        <v>38.5</v>
      </c>
      <c r="B83" s="5" t="n">
        <v>0.0286</v>
      </c>
      <c r="C83" s="6" t="n"/>
      <c r="D83" s="6" t="n"/>
    </row>
    <row r="84">
      <c r="A84" s="5" t="n">
        <v>39</v>
      </c>
      <c r="B84" s="5" t="n">
        <v>0.03</v>
      </c>
      <c r="C84" s="6" t="n"/>
      <c r="D84" s="6" t="n"/>
    </row>
    <row r="85">
      <c r="A85" s="5" t="n">
        <v>39.5</v>
      </c>
      <c r="B85" s="5" t="n">
        <v>0.0278</v>
      </c>
      <c r="C85" s="6" t="n"/>
      <c r="D85" s="6" t="n"/>
    </row>
    <row r="86">
      <c r="A86" s="5" t="n">
        <v>40</v>
      </c>
      <c r="B86" s="5" t="n">
        <v>0.0263</v>
      </c>
      <c r="C86" s="6" t="n"/>
      <c r="D86" s="6" t="n"/>
    </row>
    <row r="87">
      <c r="A87" s="5" t="n">
        <v>40.5</v>
      </c>
      <c r="B87" s="5" t="n">
        <v>0.0246</v>
      </c>
      <c r="C87" s="6" t="n"/>
      <c r="D87" s="6" t="n"/>
    </row>
    <row r="88">
      <c r="A88" s="5" t="n">
        <v>41</v>
      </c>
      <c r="B88" s="5" t="n">
        <v>0.0249</v>
      </c>
      <c r="C88" s="6" t="n"/>
      <c r="D88" s="6" t="n"/>
    </row>
    <row r="89">
      <c r="A89" s="5" t="n">
        <v>41.5</v>
      </c>
      <c r="B89" s="5" t="n">
        <v>0.0256</v>
      </c>
      <c r="C89" s="6" t="n"/>
      <c r="D89" s="6" t="n"/>
    </row>
    <row r="90">
      <c r="A90" s="5" t="n">
        <v>42</v>
      </c>
      <c r="B90" s="5" t="n">
        <v>0.0228</v>
      </c>
      <c r="C90" s="6" t="n"/>
      <c r="D90" s="6" t="n"/>
    </row>
    <row r="91">
      <c r="A91" s="5" t="n">
        <v>42.5</v>
      </c>
      <c r="B91" s="5" t="n">
        <v>0.0202</v>
      </c>
      <c r="C91" s="6" t="n"/>
      <c r="D91" s="6" t="n"/>
    </row>
    <row r="92">
      <c r="A92" s="5" t="n">
        <v>43</v>
      </c>
      <c r="B92" s="5" t="n">
        <v>0.0208</v>
      </c>
      <c r="C92" s="6" t="n"/>
      <c r="D92" s="6" t="n"/>
    </row>
    <row r="93">
      <c r="A93" s="5" t="n">
        <v>43.5</v>
      </c>
      <c r="B93" s="5" t="n">
        <v>0.0201</v>
      </c>
      <c r="C93" s="6" t="n"/>
      <c r="D93" s="6" t="n"/>
    </row>
    <row r="94">
      <c r="A94" s="5" t="n">
        <v>44</v>
      </c>
      <c r="B94" s="5" t="n">
        <v>0.0171</v>
      </c>
      <c r="C94" s="6" t="n"/>
      <c r="D94" s="6" t="n"/>
    </row>
    <row r="95">
      <c r="A95" s="5" t="n">
        <v>44.5</v>
      </c>
      <c r="B95" s="5" t="n">
        <v>0.0157</v>
      </c>
      <c r="C95" s="6" t="n"/>
      <c r="D95" s="6" t="n"/>
    </row>
    <row r="96">
      <c r="A96" s="5" t="n">
        <v>45</v>
      </c>
      <c r="B96" s="5" t="n">
        <v>0.0165</v>
      </c>
      <c r="C96" s="6" t="n"/>
      <c r="D96" s="6" t="n"/>
    </row>
    <row r="97">
      <c r="A97" s="5" t="n">
        <v>45.5</v>
      </c>
      <c r="B97" s="5" t="n">
        <v>0.0157</v>
      </c>
      <c r="C97" s="6" t="n"/>
      <c r="D97" s="6" t="n"/>
    </row>
    <row r="98">
      <c r="A98" s="5" t="n">
        <v>46</v>
      </c>
      <c r="B98" s="5" t="n">
        <v>0.0161</v>
      </c>
      <c r="C98" s="6" t="n"/>
      <c r="D98" s="6" t="n"/>
    </row>
    <row r="99">
      <c r="A99" s="5" t="n">
        <v>46.5</v>
      </c>
      <c r="B99" s="5" t="n">
        <v>0.0132</v>
      </c>
      <c r="C99" s="6" t="n"/>
      <c r="D99" s="6" t="n"/>
    </row>
    <row r="100">
      <c r="A100" s="5" t="n">
        <v>47</v>
      </c>
      <c r="B100" s="5" t="n">
        <v>0.0094</v>
      </c>
      <c r="C100" s="6" t="n"/>
      <c r="D100" s="6" t="n"/>
    </row>
    <row r="101">
      <c r="A101" s="5" t="n">
        <v>47.5</v>
      </c>
      <c r="B101" s="5" t="n">
        <v>0.013</v>
      </c>
      <c r="C101" s="6" t="n"/>
      <c r="D101" s="6" t="n"/>
    </row>
    <row r="102">
      <c r="A102" s="5" t="n">
        <v>48</v>
      </c>
      <c r="B102" s="5" t="n">
        <v>0.0114</v>
      </c>
      <c r="C102" s="6" t="n"/>
      <c r="D102" s="6" t="n"/>
    </row>
    <row r="103">
      <c r="A103" s="5" t="n">
        <v>48.5</v>
      </c>
      <c r="B103" s="5" t="n">
        <v>0.0123</v>
      </c>
      <c r="C103" s="6" t="n"/>
      <c r="D103" s="6" t="n"/>
    </row>
    <row r="104">
      <c r="A104" s="5" t="n">
        <v>49</v>
      </c>
      <c r="B104" s="5" t="n">
        <v>0.0143</v>
      </c>
      <c r="C104" s="6" t="n"/>
      <c r="D104" s="6" t="n"/>
    </row>
    <row r="105">
      <c r="A105" s="5" t="n">
        <v>49.5</v>
      </c>
      <c r="B105" s="5" t="n">
        <v>0.0113</v>
      </c>
      <c r="C105" s="6" t="n"/>
      <c r="D105" s="6" t="n"/>
    </row>
    <row r="106">
      <c r="A106" s="5" t="n">
        <v>50</v>
      </c>
      <c r="B106" s="5" t="n">
        <v>0.0126</v>
      </c>
      <c r="C106" s="6" t="n"/>
      <c r="D106" s="6" t="n"/>
    </row>
    <row r="107">
      <c r="A107" s="5" t="n">
        <v>50.5</v>
      </c>
      <c r="B107" s="5" t="n">
        <v>0.008</v>
      </c>
      <c r="C107" s="6" t="n"/>
      <c r="D107" s="6" t="n"/>
    </row>
    <row r="108">
      <c r="A108" s="5" t="n">
        <v>51</v>
      </c>
      <c r="B108" s="5" t="n">
        <v>0.0102</v>
      </c>
      <c r="C108" s="6" t="n"/>
      <c r="D108" s="6" t="n"/>
    </row>
    <row r="109">
      <c r="A109" s="5" t="n">
        <v>51.5</v>
      </c>
      <c r="B109" s="5" t="n">
        <v>0.0109</v>
      </c>
      <c r="C109" s="6" t="n"/>
      <c r="D109" s="6" t="n"/>
    </row>
    <row r="110">
      <c r="A110" s="5" t="n">
        <v>52</v>
      </c>
      <c r="B110" s="5" t="n">
        <v>0.0083</v>
      </c>
      <c r="C110" s="6" t="n"/>
      <c r="D110" s="6" t="n"/>
    </row>
    <row r="111">
      <c r="A111" s="5" t="n">
        <v>52.5</v>
      </c>
      <c r="B111" s="5" t="n">
        <v>0.0042</v>
      </c>
      <c r="C111" s="6" t="n"/>
      <c r="D111" s="6" t="n"/>
    </row>
    <row r="112">
      <c r="A112" s="5" t="n">
        <v>53</v>
      </c>
      <c r="B112" s="5" t="n">
        <v>0.0033</v>
      </c>
      <c r="C112" s="6" t="n"/>
      <c r="D112" s="6" t="n"/>
    </row>
    <row r="113">
      <c r="A113" s="5" t="n">
        <v>53.5</v>
      </c>
      <c r="B113" s="5" t="n">
        <v>0.0058</v>
      </c>
      <c r="C113" s="6" t="n"/>
      <c r="D113" s="6" t="n"/>
    </row>
    <row r="114">
      <c r="A114" s="5" t="n">
        <v>54</v>
      </c>
      <c r="B114" s="5" t="n">
        <v>0.0058</v>
      </c>
      <c r="C114" s="6" t="n"/>
      <c r="D114" s="6" t="n"/>
    </row>
    <row r="115">
      <c r="A115" s="5" t="n">
        <v>54.5</v>
      </c>
      <c r="B115" s="5" t="n">
        <v>0.0074</v>
      </c>
      <c r="C115" s="6" t="n"/>
      <c r="D115" s="6" t="n"/>
    </row>
    <row r="116">
      <c r="A116" s="5" t="n">
        <v>55</v>
      </c>
      <c r="B116" s="5" t="n">
        <v>0.0064</v>
      </c>
      <c r="C116" s="6" t="n"/>
      <c r="D116" s="6" t="n"/>
    </row>
    <row r="117">
      <c r="A117" s="5" t="n">
        <v>55.5</v>
      </c>
      <c r="B117" s="5" t="n">
        <v>0.0031</v>
      </c>
      <c r="C117" s="6" t="n"/>
      <c r="D117" s="6" t="n"/>
    </row>
    <row r="118">
      <c r="A118" s="5" t="n">
        <v>56</v>
      </c>
      <c r="B118" s="5" t="n">
        <v>0.0024</v>
      </c>
      <c r="C118" s="6" t="n"/>
      <c r="D118" s="6" t="n"/>
    </row>
    <row r="119">
      <c r="A119" s="5" t="n">
        <v>56.5</v>
      </c>
      <c r="B119" s="5" t="n">
        <v>0.0036</v>
      </c>
      <c r="C119" s="6" t="n"/>
      <c r="D119" s="6" t="n"/>
    </row>
    <row r="120">
      <c r="A120" s="5" t="n">
        <v>57</v>
      </c>
      <c r="B120" s="5" t="n">
        <v>0.0055</v>
      </c>
      <c r="C120" s="6" t="n"/>
      <c r="D120" s="6" t="n"/>
    </row>
    <row r="121">
      <c r="A121" s="5" t="n">
        <v>57.5</v>
      </c>
      <c r="B121" s="5" t="n">
        <v>0.0041</v>
      </c>
      <c r="C121" s="6" t="n"/>
      <c r="D121" s="6" t="n"/>
    </row>
    <row r="122">
      <c r="A122" s="5" t="n">
        <v>58</v>
      </c>
      <c r="B122" s="5" t="n">
        <v>0.0032</v>
      </c>
      <c r="C122" s="6" t="n"/>
      <c r="D122" s="6" t="n"/>
    </row>
    <row r="123">
      <c r="A123" s="5" t="n">
        <v>58.5</v>
      </c>
      <c r="B123" s="5" t="n">
        <v>0.0069</v>
      </c>
      <c r="C123" s="6" t="n"/>
      <c r="D123" s="6" t="n"/>
    </row>
    <row r="124">
      <c r="A124" s="5" t="n">
        <v>59</v>
      </c>
      <c r="B124" s="5" t="n">
        <v>0.0033</v>
      </c>
      <c r="C124" s="6" t="n"/>
      <c r="D124" s="6" t="n"/>
    </row>
    <row r="125">
      <c r="A125" s="5" t="n">
        <v>59.5</v>
      </c>
      <c r="B125" s="5" t="n">
        <v>0.0044</v>
      </c>
      <c r="C125" s="6" t="n"/>
      <c r="D125" s="6" t="n"/>
    </row>
    <row r="126">
      <c r="A126" s="5" t="n">
        <v>60</v>
      </c>
      <c r="B126" s="5" t="n">
        <v>0.0046</v>
      </c>
      <c r="C126" s="6" t="n"/>
      <c r="D12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30" customWidth="1" min="6" max="6"/>
    <col width="16" customWidth="1" min="7" max="7"/>
    <col width="28" customWidth="1" min="8" max="8"/>
  </cols>
  <sheetData>
    <row r="1">
      <c r="A1" s="1" t="inlineStr">
        <is>
          <t>TJC Q2(f) – Capacitor discharge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I / mA</t>
        </is>
      </c>
      <c r="C5" s="4" t="inlineStr">
        <is>
          <t>ln(I / mA)</t>
        </is>
      </c>
      <c r="D5" s="4" t="inlineStr">
        <is>
          <t>strip charge / C</t>
        </is>
      </c>
      <c r="F5" s="4" t="inlineStr">
        <is>
          <t>Result</t>
        </is>
      </c>
      <c r="G5" s="4" t="inlineStr">
        <is>
          <t>Value</t>
        </is>
      </c>
      <c r="H5" s="4" t="inlineStr">
        <is>
          <t>Unit / note</t>
        </is>
      </c>
    </row>
    <row r="6">
      <c r="A6" s="5" t="n">
        <v>0</v>
      </c>
      <c r="B6" s="5" t="n">
        <v>1.2743</v>
      </c>
      <c r="C6" s="7">
        <f>IF(B6&gt;0.03,LN(B6),"")</f>
        <v/>
      </c>
      <c r="D6" s="7">
        <f>IF(A7&lt;&gt;"",0.5*(B6+B7)/1000*(A7-A6),"")</f>
        <v/>
      </c>
      <c r="F6" s="5" t="inlineStr">
        <is>
          <t>τ = −1/gradient</t>
        </is>
      </c>
      <c r="G6" s="7">
        <f>-1/SLOPE(C6:C126,A6:A126)</f>
        <v/>
      </c>
      <c r="H6" s="5" t="inlineStr">
        <is>
          <t>s</t>
        </is>
      </c>
    </row>
    <row r="7">
      <c r="A7" s="5" t="n">
        <v>0.5</v>
      </c>
      <c r="B7" s="5" t="n">
        <v>1.2191</v>
      </c>
      <c r="C7" s="7">
        <f>IF(B7&gt;0.03,LN(B7),"")</f>
        <v/>
      </c>
      <c r="D7" s="7">
        <f>IF(A8&lt;&gt;"",0.5*(B7+B8)/1000*(A8-A7),"")</f>
        <v/>
      </c>
      <c r="F7" s="5" t="inlineStr">
        <is>
          <t>Q = Σ strips</t>
        </is>
      </c>
      <c r="G7" s="7">
        <f>SUM(D6:D126)</f>
        <v/>
      </c>
      <c r="H7" s="5" t="inlineStr">
        <is>
          <t>C</t>
        </is>
      </c>
    </row>
    <row r="8">
      <c r="A8" s="5" t="n">
        <v>1</v>
      </c>
      <c r="B8" s="5" t="n">
        <v>1.1603</v>
      </c>
      <c r="C8" s="7">
        <f>IF(B8&gt;0.03,LN(B8),"")</f>
        <v/>
      </c>
      <c r="D8" s="7">
        <f>IF(A9&lt;&gt;"",0.5*(B8+B9)/1000*(A9-A8),"")</f>
        <v/>
      </c>
      <c r="F8" s="5" t="inlineStr">
        <is>
          <t>CV₀</t>
        </is>
      </c>
      <c r="G8" s="7" t="n">
        <v>0.0132</v>
      </c>
      <c r="H8" s="5" t="inlineStr">
        <is>
          <t>C</t>
        </is>
      </c>
    </row>
    <row r="9">
      <c r="A9" s="5" t="n">
        <v>1.5</v>
      </c>
      <c r="B9" s="5" t="n">
        <v>1.1067</v>
      </c>
      <c r="C9" s="7">
        <f>IF(B9&gt;0.03,LN(B9),"")</f>
        <v/>
      </c>
      <c r="D9" s="7">
        <f>IF(A10&lt;&gt;"",0.5*(B9+B10)/1000*(A10-A9),"")</f>
        <v/>
      </c>
    </row>
    <row r="10">
      <c r="A10" s="5" t="n">
        <v>2</v>
      </c>
      <c r="B10" s="5" t="n">
        <v>1.0521</v>
      </c>
      <c r="C10" s="7">
        <f>IF(B10&gt;0.03,LN(B10),"")</f>
        <v/>
      </c>
      <c r="D10" s="7">
        <f>IF(A11&lt;&gt;"",0.5*(B10+B11)/1000*(A11-A10),"")</f>
        <v/>
      </c>
    </row>
    <row r="11">
      <c r="A11" s="5" t="n">
        <v>2.5</v>
      </c>
      <c r="B11" s="5" t="n">
        <v>1.0002</v>
      </c>
      <c r="C11" s="7">
        <f>IF(B11&gt;0.03,LN(B11),"")</f>
        <v/>
      </c>
      <c r="D11" s="7">
        <f>IF(A12&lt;&gt;"",0.5*(B11+B12)/1000*(A12-A11),"")</f>
        <v/>
      </c>
    </row>
    <row r="12">
      <c r="A12" s="5" t="n">
        <v>3</v>
      </c>
      <c r="B12" s="5" t="n">
        <v>0.9544</v>
      </c>
      <c r="C12" s="7">
        <f>IF(B12&gt;0.03,LN(B12),"")</f>
        <v/>
      </c>
      <c r="D12" s="7">
        <f>IF(A13&lt;&gt;"",0.5*(B12+B13)/1000*(A13-A12),"")</f>
        <v/>
      </c>
    </row>
    <row r="13">
      <c r="A13" s="5" t="n">
        <v>3.5</v>
      </c>
      <c r="B13" s="5" t="n">
        <v>0.906</v>
      </c>
      <c r="C13" s="7">
        <f>IF(B13&gt;0.03,LN(B13),"")</f>
        <v/>
      </c>
      <c r="D13" s="7">
        <f>IF(A14&lt;&gt;"",0.5*(B13+B14)/1000*(A14-A13),"")</f>
        <v/>
      </c>
    </row>
    <row r="14">
      <c r="A14" s="5" t="n">
        <v>4</v>
      </c>
      <c r="B14" s="5" t="n">
        <v>0.8683999999999999</v>
      </c>
      <c r="C14" s="7">
        <f>IF(B14&gt;0.03,LN(B14),"")</f>
        <v/>
      </c>
      <c r="D14" s="7">
        <f>IF(A15&lt;&gt;"",0.5*(B14+B15)/1000*(A15-A14),"")</f>
        <v/>
      </c>
    </row>
    <row r="15">
      <c r="A15" s="5" t="n">
        <v>4.5</v>
      </c>
      <c r="B15" s="5" t="n">
        <v>0.8239</v>
      </c>
      <c r="C15" s="7">
        <f>IF(B15&gt;0.03,LN(B15),"")</f>
        <v/>
      </c>
      <c r="D15" s="7">
        <f>IF(A16&lt;&gt;"",0.5*(B15+B16)/1000*(A16-A15),"")</f>
        <v/>
      </c>
    </row>
    <row r="16">
      <c r="A16" s="5" t="n">
        <v>5</v>
      </c>
      <c r="B16" s="5" t="n">
        <v>0.7844</v>
      </c>
      <c r="C16" s="7">
        <f>IF(B16&gt;0.03,LN(B16),"")</f>
        <v/>
      </c>
      <c r="D16" s="7">
        <f>IF(A17&lt;&gt;"",0.5*(B16+B17)/1000*(A17-A16),"")</f>
        <v/>
      </c>
    </row>
    <row r="17">
      <c r="A17" s="5" t="n">
        <v>5.5</v>
      </c>
      <c r="B17" s="5" t="n">
        <v>0.7494</v>
      </c>
      <c r="C17" s="7">
        <f>IF(B17&gt;0.03,LN(B17),"")</f>
        <v/>
      </c>
      <c r="D17" s="7">
        <f>IF(A18&lt;&gt;"",0.5*(B17+B18)/1000*(A18-A17),"")</f>
        <v/>
      </c>
    </row>
    <row r="18">
      <c r="A18" s="5" t="n">
        <v>6</v>
      </c>
      <c r="B18" s="5" t="n">
        <v>0.7133</v>
      </c>
      <c r="C18" s="7">
        <f>IF(B18&gt;0.03,LN(B18),"")</f>
        <v/>
      </c>
      <c r="D18" s="7">
        <f>IF(A19&lt;&gt;"",0.5*(B18+B19)/1000*(A19-A18),"")</f>
        <v/>
      </c>
    </row>
    <row r="19">
      <c r="A19" s="5" t="n">
        <v>6.5</v>
      </c>
      <c r="B19" s="5" t="n">
        <v>0.6845</v>
      </c>
      <c r="C19" s="7">
        <f>IF(B19&gt;0.03,LN(B19),"")</f>
        <v/>
      </c>
      <c r="D19" s="7">
        <f>IF(A20&lt;&gt;"",0.5*(B19+B20)/1000*(A20-A19),"")</f>
        <v/>
      </c>
    </row>
    <row r="20">
      <c r="A20" s="5" t="n">
        <v>7</v>
      </c>
      <c r="B20" s="5" t="n">
        <v>0.6516999999999999</v>
      </c>
      <c r="C20" s="7">
        <f>IF(B20&gt;0.03,LN(B20),"")</f>
        <v/>
      </c>
      <c r="D20" s="7">
        <f>IF(A21&lt;&gt;"",0.5*(B20+B21)/1000*(A21-A20),"")</f>
        <v/>
      </c>
    </row>
    <row r="21">
      <c r="A21" s="5" t="n">
        <v>7.5</v>
      </c>
      <c r="B21" s="5" t="n">
        <v>0.6189</v>
      </c>
      <c r="C21" s="7">
        <f>IF(B21&gt;0.03,LN(B21),"")</f>
        <v/>
      </c>
      <c r="D21" s="7">
        <f>IF(A22&lt;&gt;"",0.5*(B21+B22)/1000*(A22-A21),"")</f>
        <v/>
      </c>
    </row>
    <row r="22">
      <c r="A22" s="5" t="n">
        <v>8</v>
      </c>
      <c r="B22" s="5" t="n">
        <v>0.5884</v>
      </c>
      <c r="C22" s="7">
        <f>IF(B22&gt;0.03,LN(B22),"")</f>
        <v/>
      </c>
      <c r="D22" s="7">
        <f>IF(A23&lt;&gt;"",0.5*(B22+B23)/1000*(A23-A22),"")</f>
        <v/>
      </c>
    </row>
    <row r="23">
      <c r="A23" s="5" t="n">
        <v>8.5</v>
      </c>
      <c r="B23" s="5" t="n">
        <v>0.5564</v>
      </c>
      <c r="C23" s="7">
        <f>IF(B23&gt;0.03,LN(B23),"")</f>
        <v/>
      </c>
      <c r="D23" s="7">
        <f>IF(A24&lt;&gt;"",0.5*(B23+B24)/1000*(A24-A23),"")</f>
        <v/>
      </c>
    </row>
    <row r="24">
      <c r="A24" s="5" t="n">
        <v>9</v>
      </c>
      <c r="B24" s="5" t="n">
        <v>0.536</v>
      </c>
      <c r="C24" s="7">
        <f>IF(B24&gt;0.03,LN(B24),"")</f>
        <v/>
      </c>
      <c r="D24" s="7">
        <f>IF(A25&lt;&gt;"",0.5*(B24+B25)/1000*(A25-A24),"")</f>
        <v/>
      </c>
    </row>
    <row r="25">
      <c r="A25" s="5" t="n">
        <v>9.5</v>
      </c>
      <c r="B25" s="5" t="n">
        <v>0.5114</v>
      </c>
      <c r="C25" s="7">
        <f>IF(B25&gt;0.03,LN(B25),"")</f>
        <v/>
      </c>
      <c r="D25" s="7">
        <f>IF(A26&lt;&gt;"",0.5*(B25+B26)/1000*(A26-A25),"")</f>
        <v/>
      </c>
    </row>
    <row r="26">
      <c r="A26" s="5" t="n">
        <v>10</v>
      </c>
      <c r="B26" s="5" t="n">
        <v>0.4856</v>
      </c>
      <c r="C26" s="7">
        <f>IF(B26&gt;0.03,LN(B26),"")</f>
        <v/>
      </c>
      <c r="D26" s="7">
        <f>IF(A27&lt;&gt;"",0.5*(B26+B27)/1000*(A27-A26),"")</f>
        <v/>
      </c>
    </row>
    <row r="27">
      <c r="A27" s="5" t="n">
        <v>10.5</v>
      </c>
      <c r="B27" s="5" t="n">
        <v>0.462</v>
      </c>
      <c r="C27" s="7">
        <f>IF(B27&gt;0.03,LN(B27),"")</f>
        <v/>
      </c>
      <c r="D27" s="7">
        <f>IF(A28&lt;&gt;"",0.5*(B27+B28)/1000*(A28-A27),"")</f>
        <v/>
      </c>
    </row>
    <row r="28">
      <c r="A28" s="5" t="n">
        <v>11</v>
      </c>
      <c r="B28" s="5" t="n">
        <v>0.4453</v>
      </c>
      <c r="C28" s="7">
        <f>IF(B28&gt;0.03,LN(B28),"")</f>
        <v/>
      </c>
      <c r="D28" s="7">
        <f>IF(A29&lt;&gt;"",0.5*(B28+B29)/1000*(A29-A28),"")</f>
        <v/>
      </c>
    </row>
    <row r="29">
      <c r="A29" s="5" t="n">
        <v>11.5</v>
      </c>
      <c r="B29" s="5" t="n">
        <v>0.4213</v>
      </c>
      <c r="C29" s="7">
        <f>IF(B29&gt;0.03,LN(B29),"")</f>
        <v/>
      </c>
      <c r="D29" s="7">
        <f>IF(A30&lt;&gt;"",0.5*(B29+B30)/1000*(A30-A29),"")</f>
        <v/>
      </c>
    </row>
    <row r="30">
      <c r="A30" s="5" t="n">
        <v>12</v>
      </c>
      <c r="B30" s="5" t="n">
        <v>0.3998</v>
      </c>
      <c r="C30" s="7">
        <f>IF(B30&gt;0.03,LN(B30),"")</f>
        <v/>
      </c>
      <c r="D30" s="7">
        <f>IF(A31&lt;&gt;"",0.5*(B30+B31)/1000*(A31-A30),"")</f>
        <v/>
      </c>
    </row>
    <row r="31">
      <c r="A31" s="5" t="n">
        <v>12.5</v>
      </c>
      <c r="B31" s="5" t="n">
        <v>0.3832</v>
      </c>
      <c r="C31" s="7">
        <f>IF(B31&gt;0.03,LN(B31),"")</f>
        <v/>
      </c>
      <c r="D31" s="7">
        <f>IF(A32&lt;&gt;"",0.5*(B31+B32)/1000*(A32-A31),"")</f>
        <v/>
      </c>
    </row>
    <row r="32">
      <c r="A32" s="5" t="n">
        <v>13</v>
      </c>
      <c r="B32" s="5" t="n">
        <v>0.3599</v>
      </c>
      <c r="C32" s="7">
        <f>IF(B32&gt;0.03,LN(B32),"")</f>
        <v/>
      </c>
      <c r="D32" s="7">
        <f>IF(A33&lt;&gt;"",0.5*(B32+B33)/1000*(A33-A32),"")</f>
        <v/>
      </c>
    </row>
    <row r="33">
      <c r="A33" s="5" t="n">
        <v>13.5</v>
      </c>
      <c r="B33" s="5" t="n">
        <v>0.3429</v>
      </c>
      <c r="C33" s="7">
        <f>IF(B33&gt;0.03,LN(B33),"")</f>
        <v/>
      </c>
      <c r="D33" s="7">
        <f>IF(A34&lt;&gt;"",0.5*(B33+B34)/1000*(A34-A33),"")</f>
        <v/>
      </c>
    </row>
    <row r="34">
      <c r="A34" s="5" t="n">
        <v>14</v>
      </c>
      <c r="B34" s="5" t="n">
        <v>0.327</v>
      </c>
      <c r="C34" s="7">
        <f>IF(B34&gt;0.03,LN(B34),"")</f>
        <v/>
      </c>
      <c r="D34" s="7">
        <f>IF(A35&lt;&gt;"",0.5*(B34+B35)/1000*(A35-A34),"")</f>
        <v/>
      </c>
    </row>
    <row r="35">
      <c r="A35" s="5" t="n">
        <v>14.5</v>
      </c>
      <c r="B35" s="5" t="n">
        <v>0.3145</v>
      </c>
      <c r="C35" s="7">
        <f>IF(B35&gt;0.03,LN(B35),"")</f>
        <v/>
      </c>
      <c r="D35" s="7">
        <f>IF(A36&lt;&gt;"",0.5*(B35+B36)/1000*(A36-A35),"")</f>
        <v/>
      </c>
    </row>
    <row r="36">
      <c r="A36" s="5" t="n">
        <v>15</v>
      </c>
      <c r="B36" s="5" t="n">
        <v>0.3021</v>
      </c>
      <c r="C36" s="7">
        <f>IF(B36&gt;0.03,LN(B36),"")</f>
        <v/>
      </c>
      <c r="D36" s="7">
        <f>IF(A37&lt;&gt;"",0.5*(B36+B37)/1000*(A37-A36),"")</f>
        <v/>
      </c>
    </row>
    <row r="37">
      <c r="A37" s="5" t="n">
        <v>15.5</v>
      </c>
      <c r="B37" s="5" t="n">
        <v>0.2844</v>
      </c>
      <c r="C37" s="7">
        <f>IF(B37&gt;0.03,LN(B37),"")</f>
        <v/>
      </c>
      <c r="D37" s="7">
        <f>IF(A38&lt;&gt;"",0.5*(B37+B38)/1000*(A38-A37),"")</f>
        <v/>
      </c>
    </row>
    <row r="38">
      <c r="A38" s="5" t="n">
        <v>16</v>
      </c>
      <c r="B38" s="5" t="n">
        <v>0.2745</v>
      </c>
      <c r="C38" s="7">
        <f>IF(B38&gt;0.03,LN(B38),"")</f>
        <v/>
      </c>
      <c r="D38" s="7">
        <f>IF(A39&lt;&gt;"",0.5*(B38+B39)/1000*(A39-A38),"")</f>
        <v/>
      </c>
    </row>
    <row r="39">
      <c r="A39" s="5" t="n">
        <v>16.5</v>
      </c>
      <c r="B39" s="5" t="n">
        <v>0.2572</v>
      </c>
      <c r="C39" s="7">
        <f>IF(B39&gt;0.03,LN(B39),"")</f>
        <v/>
      </c>
      <c r="D39" s="7">
        <f>IF(A40&lt;&gt;"",0.5*(B39+B40)/1000*(A40-A39),"")</f>
        <v/>
      </c>
    </row>
    <row r="40">
      <c r="A40" s="5" t="n">
        <v>17</v>
      </c>
      <c r="B40" s="5" t="n">
        <v>0.2471</v>
      </c>
      <c r="C40" s="7">
        <f>IF(B40&gt;0.03,LN(B40),"")</f>
        <v/>
      </c>
      <c r="D40" s="7">
        <f>IF(A41&lt;&gt;"",0.5*(B40+B41)/1000*(A41-A40),"")</f>
        <v/>
      </c>
    </row>
    <row r="41">
      <c r="A41" s="5" t="n">
        <v>17.5</v>
      </c>
      <c r="B41" s="5" t="n">
        <v>0.2371</v>
      </c>
      <c r="C41" s="7">
        <f>IF(B41&gt;0.03,LN(B41),"")</f>
        <v/>
      </c>
      <c r="D41" s="7">
        <f>IF(A42&lt;&gt;"",0.5*(B41+B42)/1000*(A42-A41),"")</f>
        <v/>
      </c>
    </row>
    <row r="42">
      <c r="A42" s="5" t="n">
        <v>18</v>
      </c>
      <c r="B42" s="5" t="n">
        <v>0.2237</v>
      </c>
      <c r="C42" s="7">
        <f>IF(B42&gt;0.03,LN(B42),"")</f>
        <v/>
      </c>
      <c r="D42" s="7">
        <f>IF(A43&lt;&gt;"",0.5*(B42+B43)/1000*(A43-A42),"")</f>
        <v/>
      </c>
    </row>
    <row r="43">
      <c r="A43" s="5" t="n">
        <v>18.5</v>
      </c>
      <c r="B43" s="5" t="n">
        <v>0.2133</v>
      </c>
      <c r="C43" s="7">
        <f>IF(B43&gt;0.03,LN(B43),"")</f>
        <v/>
      </c>
      <c r="D43" s="7">
        <f>IF(A44&lt;&gt;"",0.5*(B43+B44)/1000*(A44-A43),"")</f>
        <v/>
      </c>
    </row>
    <row r="44">
      <c r="A44" s="5" t="n">
        <v>19</v>
      </c>
      <c r="B44" s="5" t="n">
        <v>0.2074</v>
      </c>
      <c r="C44" s="7">
        <f>IF(B44&gt;0.03,LN(B44),"")</f>
        <v/>
      </c>
      <c r="D44" s="7">
        <f>IF(A45&lt;&gt;"",0.5*(B44+B45)/1000*(A45-A44),"")</f>
        <v/>
      </c>
    </row>
    <row r="45">
      <c r="A45" s="5" t="n">
        <v>19.5</v>
      </c>
      <c r="B45" s="5" t="n">
        <v>0.1951</v>
      </c>
      <c r="C45" s="7">
        <f>IF(B45&gt;0.03,LN(B45),"")</f>
        <v/>
      </c>
      <c r="D45" s="7">
        <f>IF(A46&lt;&gt;"",0.5*(B45+B46)/1000*(A46-A45),"")</f>
        <v/>
      </c>
    </row>
    <row r="46">
      <c r="A46" s="5" t="n">
        <v>20</v>
      </c>
      <c r="B46" s="5" t="n">
        <v>0.1853</v>
      </c>
      <c r="C46" s="7">
        <f>IF(B46&gt;0.03,LN(B46),"")</f>
        <v/>
      </c>
      <c r="D46" s="7">
        <f>IF(A47&lt;&gt;"",0.5*(B46+B47)/1000*(A47-A46),"")</f>
        <v/>
      </c>
    </row>
    <row r="47">
      <c r="A47" s="5" t="n">
        <v>20.5</v>
      </c>
      <c r="B47" s="5" t="n">
        <v>0.1739</v>
      </c>
      <c r="C47" s="7">
        <f>IF(B47&gt;0.03,LN(B47),"")</f>
        <v/>
      </c>
      <c r="D47" s="7">
        <f>IF(A48&lt;&gt;"",0.5*(B47+B48)/1000*(A48-A47),"")</f>
        <v/>
      </c>
    </row>
    <row r="48">
      <c r="A48" s="5" t="n">
        <v>21</v>
      </c>
      <c r="B48" s="5" t="n">
        <v>0.1652</v>
      </c>
      <c r="C48" s="7">
        <f>IF(B48&gt;0.03,LN(B48),"")</f>
        <v/>
      </c>
      <c r="D48" s="7">
        <f>IF(A49&lt;&gt;"",0.5*(B48+B49)/1000*(A49-A48),"")</f>
        <v/>
      </c>
    </row>
    <row r="49">
      <c r="A49" s="5" t="n">
        <v>21.5</v>
      </c>
      <c r="B49" s="5" t="n">
        <v>0.1608</v>
      </c>
      <c r="C49" s="7">
        <f>IF(B49&gt;0.03,LN(B49),"")</f>
        <v/>
      </c>
      <c r="D49" s="7">
        <f>IF(A50&lt;&gt;"",0.5*(B49+B50)/1000*(A50-A49),"")</f>
        <v/>
      </c>
    </row>
    <row r="50">
      <c r="A50" s="5" t="n">
        <v>22</v>
      </c>
      <c r="B50" s="5" t="n">
        <v>0.1493</v>
      </c>
      <c r="C50" s="7">
        <f>IF(B50&gt;0.03,LN(B50),"")</f>
        <v/>
      </c>
      <c r="D50" s="7">
        <f>IF(A51&lt;&gt;"",0.5*(B50+B51)/1000*(A51-A50),"")</f>
        <v/>
      </c>
    </row>
    <row r="51">
      <c r="A51" s="5" t="n">
        <v>22.5</v>
      </c>
      <c r="B51" s="5" t="n">
        <v>0.1414</v>
      </c>
      <c r="C51" s="7">
        <f>IF(B51&gt;0.03,LN(B51),"")</f>
        <v/>
      </c>
      <c r="D51" s="7">
        <f>IF(A52&lt;&gt;"",0.5*(B51+B52)/1000*(A52-A51),"")</f>
        <v/>
      </c>
    </row>
    <row r="52">
      <c r="A52" s="5" t="n">
        <v>23</v>
      </c>
      <c r="B52" s="5" t="n">
        <v>0.1376</v>
      </c>
      <c r="C52" s="7">
        <f>IF(B52&gt;0.03,LN(B52),"")</f>
        <v/>
      </c>
      <c r="D52" s="7">
        <f>IF(A53&lt;&gt;"",0.5*(B52+B53)/1000*(A53-A52),"")</f>
        <v/>
      </c>
    </row>
    <row r="53">
      <c r="A53" s="5" t="n">
        <v>23.5</v>
      </c>
      <c r="B53" s="5" t="n">
        <v>0.1302</v>
      </c>
      <c r="C53" s="7">
        <f>IF(B53&gt;0.03,LN(B53),"")</f>
        <v/>
      </c>
      <c r="D53" s="7">
        <f>IF(A54&lt;&gt;"",0.5*(B53+B54)/1000*(A54-A53),"")</f>
        <v/>
      </c>
    </row>
    <row r="54">
      <c r="A54" s="5" t="n">
        <v>24</v>
      </c>
      <c r="B54" s="5" t="n">
        <v>0.1279</v>
      </c>
      <c r="C54" s="7">
        <f>IF(B54&gt;0.03,LN(B54),"")</f>
        <v/>
      </c>
      <c r="D54" s="7">
        <f>IF(A55&lt;&gt;"",0.5*(B54+B55)/1000*(A55-A54),"")</f>
        <v/>
      </c>
    </row>
    <row r="55">
      <c r="A55" s="5" t="n">
        <v>24.5</v>
      </c>
      <c r="B55" s="5" t="n">
        <v>0.1187</v>
      </c>
      <c r="C55" s="7">
        <f>IF(B55&gt;0.03,LN(B55),"")</f>
        <v/>
      </c>
      <c r="D55" s="7">
        <f>IF(A56&lt;&gt;"",0.5*(B55+B56)/1000*(A56-A55),"")</f>
        <v/>
      </c>
    </row>
    <row r="56">
      <c r="A56" s="5" t="n">
        <v>25</v>
      </c>
      <c r="B56" s="5" t="n">
        <v>0.1164</v>
      </c>
      <c r="C56" s="7">
        <f>IF(B56&gt;0.03,LN(B56),"")</f>
        <v/>
      </c>
      <c r="D56" s="7">
        <f>IF(A57&lt;&gt;"",0.5*(B56+B57)/1000*(A57-A56),"")</f>
        <v/>
      </c>
    </row>
    <row r="57">
      <c r="A57" s="5" t="n">
        <v>25.5</v>
      </c>
      <c r="B57" s="5" t="n">
        <v>0.1074</v>
      </c>
      <c r="C57" s="7">
        <f>IF(B57&gt;0.03,LN(B57),"")</f>
        <v/>
      </c>
      <c r="D57" s="7">
        <f>IF(A58&lt;&gt;"",0.5*(B57+B58)/1000*(A58-A57),"")</f>
        <v/>
      </c>
    </row>
    <row r="58">
      <c r="A58" s="5" t="n">
        <v>26</v>
      </c>
      <c r="B58" s="5" t="n">
        <v>0.1027</v>
      </c>
      <c r="C58" s="7">
        <f>IF(B58&gt;0.03,LN(B58),"")</f>
        <v/>
      </c>
      <c r="D58" s="7">
        <f>IF(A59&lt;&gt;"",0.5*(B58+B59)/1000*(A59-A58),"")</f>
        <v/>
      </c>
    </row>
    <row r="59">
      <c r="A59" s="5" t="n">
        <v>26.5</v>
      </c>
      <c r="B59" s="5" t="n">
        <v>0.0956</v>
      </c>
      <c r="C59" s="7">
        <f>IF(B59&gt;0.03,LN(B59),"")</f>
        <v/>
      </c>
      <c r="D59" s="7">
        <f>IF(A60&lt;&gt;"",0.5*(B59+B60)/1000*(A60-A59),"")</f>
        <v/>
      </c>
    </row>
    <row r="60">
      <c r="A60" s="5" t="n">
        <v>27</v>
      </c>
      <c r="B60" s="5" t="n">
        <v>0.0963</v>
      </c>
      <c r="C60" s="7">
        <f>IF(B60&gt;0.03,LN(B60),"")</f>
        <v/>
      </c>
      <c r="D60" s="7">
        <f>IF(A61&lt;&gt;"",0.5*(B60+B61)/1000*(A61-A60),"")</f>
        <v/>
      </c>
    </row>
    <row r="61">
      <c r="A61" s="5" t="n">
        <v>27.5</v>
      </c>
      <c r="B61" s="5" t="n">
        <v>0.0878</v>
      </c>
      <c r="C61" s="7">
        <f>IF(B61&gt;0.03,LN(B61),"")</f>
        <v/>
      </c>
      <c r="D61" s="7">
        <f>IF(A62&lt;&gt;"",0.5*(B61+B62)/1000*(A62-A61),"")</f>
        <v/>
      </c>
    </row>
    <row r="62">
      <c r="A62" s="5" t="n">
        <v>28</v>
      </c>
      <c r="B62" s="5" t="n">
        <v>0.0835</v>
      </c>
      <c r="C62" s="7">
        <f>IF(B62&gt;0.03,LN(B62),"")</f>
        <v/>
      </c>
      <c r="D62" s="7">
        <f>IF(A63&lt;&gt;"",0.5*(B62+B63)/1000*(A63-A62),"")</f>
        <v/>
      </c>
    </row>
    <row r="63">
      <c r="A63" s="5" t="n">
        <v>28.5</v>
      </c>
      <c r="B63" s="5" t="n">
        <v>0.0784</v>
      </c>
      <c r="C63" s="7">
        <f>IF(B63&gt;0.03,LN(B63),"")</f>
        <v/>
      </c>
      <c r="D63" s="7">
        <f>IF(A64&lt;&gt;"",0.5*(B63+B64)/1000*(A64-A63),"")</f>
        <v/>
      </c>
    </row>
    <row r="64">
      <c r="A64" s="5" t="n">
        <v>29</v>
      </c>
      <c r="B64" s="5" t="n">
        <v>0.0762</v>
      </c>
      <c r="C64" s="7">
        <f>IF(B64&gt;0.03,LN(B64),"")</f>
        <v/>
      </c>
      <c r="D64" s="7">
        <f>IF(A65&lt;&gt;"",0.5*(B64+B65)/1000*(A65-A64),"")</f>
        <v/>
      </c>
    </row>
    <row r="65">
      <c r="A65" s="5" t="n">
        <v>29.5</v>
      </c>
      <c r="B65" s="5" t="n">
        <v>0.0738</v>
      </c>
      <c r="C65" s="7">
        <f>IF(B65&gt;0.03,LN(B65),"")</f>
        <v/>
      </c>
      <c r="D65" s="7">
        <f>IF(A66&lt;&gt;"",0.5*(B65+B66)/1000*(A66-A65),"")</f>
        <v/>
      </c>
    </row>
    <row r="66">
      <c r="A66" s="5" t="n">
        <v>30</v>
      </c>
      <c r="B66" s="5" t="n">
        <v>0.0665</v>
      </c>
      <c r="C66" s="7">
        <f>IF(B66&gt;0.03,LN(B66),"")</f>
        <v/>
      </c>
      <c r="D66" s="7">
        <f>IF(A67&lt;&gt;"",0.5*(B66+B67)/1000*(A67-A66),"")</f>
        <v/>
      </c>
    </row>
    <row r="67">
      <c r="A67" s="5" t="n">
        <v>30.5</v>
      </c>
      <c r="B67" s="5" t="n">
        <v>0.0649</v>
      </c>
      <c r="C67" s="7">
        <f>IF(B67&gt;0.03,LN(B67),"")</f>
        <v/>
      </c>
      <c r="D67" s="7">
        <f>IF(A68&lt;&gt;"",0.5*(B67+B68)/1000*(A68-A67),"")</f>
        <v/>
      </c>
    </row>
    <row r="68">
      <c r="A68" s="5" t="n">
        <v>31</v>
      </c>
      <c r="B68" s="5" t="n">
        <v>0.0654</v>
      </c>
      <c r="C68" s="7">
        <f>IF(B68&gt;0.03,LN(B68),"")</f>
        <v/>
      </c>
      <c r="D68" s="7">
        <f>IF(A69&lt;&gt;"",0.5*(B68+B69)/1000*(A69-A68),"")</f>
        <v/>
      </c>
    </row>
    <row r="69">
      <c r="A69" s="5" t="n">
        <v>31.5</v>
      </c>
      <c r="B69" s="5" t="n">
        <v>0.0611</v>
      </c>
      <c r="C69" s="7">
        <f>IF(B69&gt;0.03,LN(B69),"")</f>
        <v/>
      </c>
      <c r="D69" s="7">
        <f>IF(A70&lt;&gt;"",0.5*(B69+B70)/1000*(A70-A69),"")</f>
        <v/>
      </c>
    </row>
    <row r="70">
      <c r="A70" s="5" t="n">
        <v>32</v>
      </c>
      <c r="B70" s="5" t="n">
        <v>0.0573</v>
      </c>
      <c r="C70" s="7">
        <f>IF(B70&gt;0.03,LN(B70),"")</f>
        <v/>
      </c>
      <c r="D70" s="7">
        <f>IF(A71&lt;&gt;"",0.5*(B70+B71)/1000*(A71-A70),"")</f>
        <v/>
      </c>
    </row>
    <row r="71">
      <c r="A71" s="5" t="n">
        <v>32.5</v>
      </c>
      <c r="B71" s="5" t="n">
        <v>0.0523</v>
      </c>
      <c r="C71" s="7">
        <f>IF(B71&gt;0.03,LN(B71),"")</f>
        <v/>
      </c>
      <c r="D71" s="7">
        <f>IF(A72&lt;&gt;"",0.5*(B71+B72)/1000*(A72-A71),"")</f>
        <v/>
      </c>
    </row>
    <row r="72">
      <c r="A72" s="5" t="n">
        <v>33</v>
      </c>
      <c r="B72" s="5" t="n">
        <v>0.0509</v>
      </c>
      <c r="C72" s="7">
        <f>IF(B72&gt;0.03,LN(B72),"")</f>
        <v/>
      </c>
      <c r="D72" s="7">
        <f>IF(A73&lt;&gt;"",0.5*(B72+B73)/1000*(A73-A72),"")</f>
        <v/>
      </c>
    </row>
    <row r="73">
      <c r="A73" s="5" t="n">
        <v>33.5</v>
      </c>
      <c r="B73" s="5" t="n">
        <v>0.0495</v>
      </c>
      <c r="C73" s="7">
        <f>IF(B73&gt;0.03,LN(B73),"")</f>
        <v/>
      </c>
      <c r="D73" s="7">
        <f>IF(A74&lt;&gt;"",0.5*(B73+B74)/1000*(A74-A73),"")</f>
        <v/>
      </c>
    </row>
    <row r="74">
      <c r="A74" s="5" t="n">
        <v>34</v>
      </c>
      <c r="B74" s="5" t="n">
        <v>0.0485</v>
      </c>
      <c r="C74" s="7">
        <f>IF(B74&gt;0.03,LN(B74),"")</f>
        <v/>
      </c>
      <c r="D74" s="7">
        <f>IF(A75&lt;&gt;"",0.5*(B74+B75)/1000*(A75-A74),"")</f>
        <v/>
      </c>
    </row>
    <row r="75">
      <c r="A75" s="5" t="n">
        <v>34.5</v>
      </c>
      <c r="B75" s="5" t="n">
        <v>0.0448</v>
      </c>
      <c r="C75" s="7">
        <f>IF(B75&gt;0.03,LN(B75),"")</f>
        <v/>
      </c>
      <c r="D75" s="7">
        <f>IF(A76&lt;&gt;"",0.5*(B75+B76)/1000*(A76-A75),"")</f>
        <v/>
      </c>
    </row>
    <row r="76">
      <c r="A76" s="5" t="n">
        <v>35</v>
      </c>
      <c r="B76" s="5" t="n">
        <v>0.0456</v>
      </c>
      <c r="C76" s="7">
        <f>IF(B76&gt;0.03,LN(B76),"")</f>
        <v/>
      </c>
      <c r="D76" s="7">
        <f>IF(A77&lt;&gt;"",0.5*(B76+B77)/1000*(A77-A76),"")</f>
        <v/>
      </c>
    </row>
    <row r="77">
      <c r="A77" s="5" t="n">
        <v>35.5</v>
      </c>
      <c r="B77" s="5" t="n">
        <v>0.0434</v>
      </c>
      <c r="C77" s="7">
        <f>IF(B77&gt;0.03,LN(B77),"")</f>
        <v/>
      </c>
      <c r="D77" s="7">
        <f>IF(A78&lt;&gt;"",0.5*(B77+B78)/1000*(A78-A77),"")</f>
        <v/>
      </c>
    </row>
    <row r="78">
      <c r="A78" s="5" t="n">
        <v>36</v>
      </c>
      <c r="B78" s="5" t="n">
        <v>0.0408</v>
      </c>
      <c r="C78" s="7">
        <f>IF(B78&gt;0.03,LN(B78),"")</f>
        <v/>
      </c>
      <c r="D78" s="7">
        <f>IF(A79&lt;&gt;"",0.5*(B78+B79)/1000*(A79-A78),"")</f>
        <v/>
      </c>
    </row>
    <row r="79">
      <c r="A79" s="5" t="n">
        <v>36.5</v>
      </c>
      <c r="B79" s="5" t="n">
        <v>0.0362</v>
      </c>
      <c r="C79" s="7">
        <f>IF(B79&gt;0.03,LN(B79),"")</f>
        <v/>
      </c>
      <c r="D79" s="7">
        <f>IF(A80&lt;&gt;"",0.5*(B79+B80)/1000*(A80-A79),"")</f>
        <v/>
      </c>
    </row>
    <row r="80">
      <c r="A80" s="5" t="n">
        <v>37</v>
      </c>
      <c r="B80" s="5" t="n">
        <v>0.0367</v>
      </c>
      <c r="C80" s="7">
        <f>IF(B80&gt;0.03,LN(B80),"")</f>
        <v/>
      </c>
      <c r="D80" s="7">
        <f>IF(A81&lt;&gt;"",0.5*(B80+B81)/1000*(A81-A80),"")</f>
        <v/>
      </c>
    </row>
    <row r="81">
      <c r="A81" s="5" t="n">
        <v>37.5</v>
      </c>
      <c r="B81" s="5" t="n">
        <v>0.035</v>
      </c>
      <c r="C81" s="7">
        <f>IF(B81&gt;0.03,LN(B81),"")</f>
        <v/>
      </c>
      <c r="D81" s="7">
        <f>IF(A82&lt;&gt;"",0.5*(B81+B82)/1000*(A82-A81),"")</f>
        <v/>
      </c>
    </row>
    <row r="82">
      <c r="A82" s="5" t="n">
        <v>38</v>
      </c>
      <c r="B82" s="5" t="n">
        <v>0.0316</v>
      </c>
      <c r="C82" s="7">
        <f>IF(B82&gt;0.03,LN(B82),"")</f>
        <v/>
      </c>
      <c r="D82" s="7">
        <f>IF(A83&lt;&gt;"",0.5*(B82+B83)/1000*(A83-A82),"")</f>
        <v/>
      </c>
    </row>
    <row r="83">
      <c r="A83" s="5" t="n">
        <v>38.5</v>
      </c>
      <c r="B83" s="5" t="n">
        <v>0.0286</v>
      </c>
      <c r="C83" s="7">
        <f>IF(B83&gt;0.03,LN(B83),"")</f>
        <v/>
      </c>
      <c r="D83" s="7">
        <f>IF(A84&lt;&gt;"",0.5*(B83+B84)/1000*(A84-A83),"")</f>
        <v/>
      </c>
    </row>
    <row r="84">
      <c r="A84" s="5" t="n">
        <v>39</v>
      </c>
      <c r="B84" s="5" t="n">
        <v>0.03</v>
      </c>
      <c r="C84" s="7">
        <f>IF(B84&gt;0.03,LN(B84),"")</f>
        <v/>
      </c>
      <c r="D84" s="7">
        <f>IF(A85&lt;&gt;"",0.5*(B84+B85)/1000*(A85-A84),"")</f>
        <v/>
      </c>
    </row>
    <row r="85">
      <c r="A85" s="5" t="n">
        <v>39.5</v>
      </c>
      <c r="B85" s="5" t="n">
        <v>0.0278</v>
      </c>
      <c r="C85" s="7">
        <f>IF(B85&gt;0.03,LN(B85),"")</f>
        <v/>
      </c>
      <c r="D85" s="7">
        <f>IF(A86&lt;&gt;"",0.5*(B85+B86)/1000*(A86-A85),"")</f>
        <v/>
      </c>
    </row>
    <row r="86">
      <c r="A86" s="5" t="n">
        <v>40</v>
      </c>
      <c r="B86" s="5" t="n">
        <v>0.0263</v>
      </c>
      <c r="C86" s="7">
        <f>IF(B86&gt;0.03,LN(B86),"")</f>
        <v/>
      </c>
      <c r="D86" s="7">
        <f>IF(A87&lt;&gt;"",0.5*(B86+B87)/1000*(A87-A86),"")</f>
        <v/>
      </c>
    </row>
    <row r="87">
      <c r="A87" s="5" t="n">
        <v>40.5</v>
      </c>
      <c r="B87" s="5" t="n">
        <v>0.0246</v>
      </c>
      <c r="C87" s="7">
        <f>IF(B87&gt;0.03,LN(B87),"")</f>
        <v/>
      </c>
      <c r="D87" s="7">
        <f>IF(A88&lt;&gt;"",0.5*(B87+B88)/1000*(A88-A87),"")</f>
        <v/>
      </c>
    </row>
    <row r="88">
      <c r="A88" s="5" t="n">
        <v>41</v>
      </c>
      <c r="B88" s="5" t="n">
        <v>0.0249</v>
      </c>
      <c r="C88" s="7">
        <f>IF(B88&gt;0.03,LN(B88),"")</f>
        <v/>
      </c>
      <c r="D88" s="7">
        <f>IF(A89&lt;&gt;"",0.5*(B88+B89)/1000*(A89-A88),"")</f>
        <v/>
      </c>
    </row>
    <row r="89">
      <c r="A89" s="5" t="n">
        <v>41.5</v>
      </c>
      <c r="B89" s="5" t="n">
        <v>0.0256</v>
      </c>
      <c r="C89" s="7">
        <f>IF(B89&gt;0.03,LN(B89),"")</f>
        <v/>
      </c>
      <c r="D89" s="7">
        <f>IF(A90&lt;&gt;"",0.5*(B89+B90)/1000*(A90-A89),"")</f>
        <v/>
      </c>
    </row>
    <row r="90">
      <c r="A90" s="5" t="n">
        <v>42</v>
      </c>
      <c r="B90" s="5" t="n">
        <v>0.0228</v>
      </c>
      <c r="C90" s="7">
        <f>IF(B90&gt;0.03,LN(B90),"")</f>
        <v/>
      </c>
      <c r="D90" s="7">
        <f>IF(A91&lt;&gt;"",0.5*(B90+B91)/1000*(A91-A90),"")</f>
        <v/>
      </c>
    </row>
    <row r="91">
      <c r="A91" s="5" t="n">
        <v>42.5</v>
      </c>
      <c r="B91" s="5" t="n">
        <v>0.0202</v>
      </c>
      <c r="C91" s="7">
        <f>IF(B91&gt;0.03,LN(B91),"")</f>
        <v/>
      </c>
      <c r="D91" s="7">
        <f>IF(A92&lt;&gt;"",0.5*(B91+B92)/1000*(A92-A91),"")</f>
        <v/>
      </c>
    </row>
    <row r="92">
      <c r="A92" s="5" t="n">
        <v>43</v>
      </c>
      <c r="B92" s="5" t="n">
        <v>0.0208</v>
      </c>
      <c r="C92" s="7">
        <f>IF(B92&gt;0.03,LN(B92),"")</f>
        <v/>
      </c>
      <c r="D92" s="7">
        <f>IF(A93&lt;&gt;"",0.5*(B92+B93)/1000*(A93-A92),"")</f>
        <v/>
      </c>
    </row>
    <row r="93">
      <c r="A93" s="5" t="n">
        <v>43.5</v>
      </c>
      <c r="B93" s="5" t="n">
        <v>0.0201</v>
      </c>
      <c r="C93" s="7">
        <f>IF(B93&gt;0.03,LN(B93),"")</f>
        <v/>
      </c>
      <c r="D93" s="7">
        <f>IF(A94&lt;&gt;"",0.5*(B93+B94)/1000*(A94-A93),"")</f>
        <v/>
      </c>
    </row>
    <row r="94">
      <c r="A94" s="5" t="n">
        <v>44</v>
      </c>
      <c r="B94" s="5" t="n">
        <v>0.0171</v>
      </c>
      <c r="C94" s="7">
        <f>IF(B94&gt;0.03,LN(B94),"")</f>
        <v/>
      </c>
      <c r="D94" s="7">
        <f>IF(A95&lt;&gt;"",0.5*(B94+B95)/1000*(A95-A94),"")</f>
        <v/>
      </c>
    </row>
    <row r="95">
      <c r="A95" s="5" t="n">
        <v>44.5</v>
      </c>
      <c r="B95" s="5" t="n">
        <v>0.0157</v>
      </c>
      <c r="C95" s="7">
        <f>IF(B95&gt;0.03,LN(B95),"")</f>
        <v/>
      </c>
      <c r="D95" s="7">
        <f>IF(A96&lt;&gt;"",0.5*(B95+B96)/1000*(A96-A95),"")</f>
        <v/>
      </c>
    </row>
    <row r="96">
      <c r="A96" s="5" t="n">
        <v>45</v>
      </c>
      <c r="B96" s="5" t="n">
        <v>0.0165</v>
      </c>
      <c r="C96" s="7">
        <f>IF(B96&gt;0.03,LN(B96),"")</f>
        <v/>
      </c>
      <c r="D96" s="7">
        <f>IF(A97&lt;&gt;"",0.5*(B96+B97)/1000*(A97-A96),"")</f>
        <v/>
      </c>
    </row>
    <row r="97">
      <c r="A97" s="5" t="n">
        <v>45.5</v>
      </c>
      <c r="B97" s="5" t="n">
        <v>0.0157</v>
      </c>
      <c r="C97" s="7">
        <f>IF(B97&gt;0.03,LN(B97),"")</f>
        <v/>
      </c>
      <c r="D97" s="7">
        <f>IF(A98&lt;&gt;"",0.5*(B97+B98)/1000*(A98-A97),"")</f>
        <v/>
      </c>
    </row>
    <row r="98">
      <c r="A98" s="5" t="n">
        <v>46</v>
      </c>
      <c r="B98" s="5" t="n">
        <v>0.0161</v>
      </c>
      <c r="C98" s="7">
        <f>IF(B98&gt;0.03,LN(B98),"")</f>
        <v/>
      </c>
      <c r="D98" s="7">
        <f>IF(A99&lt;&gt;"",0.5*(B98+B99)/1000*(A99-A98),"")</f>
        <v/>
      </c>
    </row>
    <row r="99">
      <c r="A99" s="5" t="n">
        <v>46.5</v>
      </c>
      <c r="B99" s="5" t="n">
        <v>0.0132</v>
      </c>
      <c r="C99" s="7">
        <f>IF(B99&gt;0.03,LN(B99),"")</f>
        <v/>
      </c>
      <c r="D99" s="7">
        <f>IF(A100&lt;&gt;"",0.5*(B99+B100)/1000*(A100-A99),"")</f>
        <v/>
      </c>
    </row>
    <row r="100">
      <c r="A100" s="5" t="n">
        <v>47</v>
      </c>
      <c r="B100" s="5" t="n">
        <v>0.0094</v>
      </c>
      <c r="C100" s="7">
        <f>IF(B100&gt;0.03,LN(B100),"")</f>
        <v/>
      </c>
      <c r="D100" s="7">
        <f>IF(A101&lt;&gt;"",0.5*(B100+B101)/1000*(A101-A100),"")</f>
        <v/>
      </c>
    </row>
    <row r="101">
      <c r="A101" s="5" t="n">
        <v>47.5</v>
      </c>
      <c r="B101" s="5" t="n">
        <v>0.013</v>
      </c>
      <c r="C101" s="7">
        <f>IF(B101&gt;0.03,LN(B101),"")</f>
        <v/>
      </c>
      <c r="D101" s="7">
        <f>IF(A102&lt;&gt;"",0.5*(B101+B102)/1000*(A102-A101),"")</f>
        <v/>
      </c>
    </row>
    <row r="102">
      <c r="A102" s="5" t="n">
        <v>48</v>
      </c>
      <c r="B102" s="5" t="n">
        <v>0.0114</v>
      </c>
      <c r="C102" s="7">
        <f>IF(B102&gt;0.03,LN(B102),"")</f>
        <v/>
      </c>
      <c r="D102" s="7">
        <f>IF(A103&lt;&gt;"",0.5*(B102+B103)/1000*(A103-A102),"")</f>
        <v/>
      </c>
    </row>
    <row r="103">
      <c r="A103" s="5" t="n">
        <v>48.5</v>
      </c>
      <c r="B103" s="5" t="n">
        <v>0.0123</v>
      </c>
      <c r="C103" s="7">
        <f>IF(B103&gt;0.03,LN(B103),"")</f>
        <v/>
      </c>
      <c r="D103" s="7">
        <f>IF(A104&lt;&gt;"",0.5*(B103+B104)/1000*(A104-A103),"")</f>
        <v/>
      </c>
    </row>
    <row r="104">
      <c r="A104" s="5" t="n">
        <v>49</v>
      </c>
      <c r="B104" s="5" t="n">
        <v>0.0143</v>
      </c>
      <c r="C104" s="7">
        <f>IF(B104&gt;0.03,LN(B104),"")</f>
        <v/>
      </c>
      <c r="D104" s="7">
        <f>IF(A105&lt;&gt;"",0.5*(B104+B105)/1000*(A105-A104),"")</f>
        <v/>
      </c>
    </row>
    <row r="105">
      <c r="A105" s="5" t="n">
        <v>49.5</v>
      </c>
      <c r="B105" s="5" t="n">
        <v>0.0113</v>
      </c>
      <c r="C105" s="7">
        <f>IF(B105&gt;0.03,LN(B105),"")</f>
        <v/>
      </c>
      <c r="D105" s="7">
        <f>IF(A106&lt;&gt;"",0.5*(B105+B106)/1000*(A106-A105),"")</f>
        <v/>
      </c>
    </row>
    <row r="106">
      <c r="A106" s="5" t="n">
        <v>50</v>
      </c>
      <c r="B106" s="5" t="n">
        <v>0.0126</v>
      </c>
      <c r="C106" s="7">
        <f>IF(B106&gt;0.03,LN(B106),"")</f>
        <v/>
      </c>
      <c r="D106" s="7">
        <f>IF(A107&lt;&gt;"",0.5*(B106+B107)/1000*(A107-A106),"")</f>
        <v/>
      </c>
    </row>
    <row r="107">
      <c r="A107" s="5" t="n">
        <v>50.5</v>
      </c>
      <c r="B107" s="5" t="n">
        <v>0.008</v>
      </c>
      <c r="C107" s="7">
        <f>IF(B107&gt;0.03,LN(B107),"")</f>
        <v/>
      </c>
      <c r="D107" s="7">
        <f>IF(A108&lt;&gt;"",0.5*(B107+B108)/1000*(A108-A107),"")</f>
        <v/>
      </c>
    </row>
    <row r="108">
      <c r="A108" s="5" t="n">
        <v>51</v>
      </c>
      <c r="B108" s="5" t="n">
        <v>0.0102</v>
      </c>
      <c r="C108" s="7">
        <f>IF(B108&gt;0.03,LN(B108),"")</f>
        <v/>
      </c>
      <c r="D108" s="7">
        <f>IF(A109&lt;&gt;"",0.5*(B108+B109)/1000*(A109-A108),"")</f>
        <v/>
      </c>
    </row>
    <row r="109">
      <c r="A109" s="5" t="n">
        <v>51.5</v>
      </c>
      <c r="B109" s="5" t="n">
        <v>0.0109</v>
      </c>
      <c r="C109" s="7">
        <f>IF(B109&gt;0.03,LN(B109),"")</f>
        <v/>
      </c>
      <c r="D109" s="7">
        <f>IF(A110&lt;&gt;"",0.5*(B109+B110)/1000*(A110-A109),"")</f>
        <v/>
      </c>
    </row>
    <row r="110">
      <c r="A110" s="5" t="n">
        <v>52</v>
      </c>
      <c r="B110" s="5" t="n">
        <v>0.0083</v>
      </c>
      <c r="C110" s="7">
        <f>IF(B110&gt;0.03,LN(B110),"")</f>
        <v/>
      </c>
      <c r="D110" s="7">
        <f>IF(A111&lt;&gt;"",0.5*(B110+B111)/1000*(A111-A110),"")</f>
        <v/>
      </c>
    </row>
    <row r="111">
      <c r="A111" s="5" t="n">
        <v>52.5</v>
      </c>
      <c r="B111" s="5" t="n">
        <v>0.0042</v>
      </c>
      <c r="C111" s="7">
        <f>IF(B111&gt;0.03,LN(B111),"")</f>
        <v/>
      </c>
      <c r="D111" s="7">
        <f>IF(A112&lt;&gt;"",0.5*(B111+B112)/1000*(A112-A111),"")</f>
        <v/>
      </c>
    </row>
    <row r="112">
      <c r="A112" s="5" t="n">
        <v>53</v>
      </c>
      <c r="B112" s="5" t="n">
        <v>0.0033</v>
      </c>
      <c r="C112" s="7">
        <f>IF(B112&gt;0.03,LN(B112),"")</f>
        <v/>
      </c>
      <c r="D112" s="7">
        <f>IF(A113&lt;&gt;"",0.5*(B112+B113)/1000*(A113-A112),"")</f>
        <v/>
      </c>
    </row>
    <row r="113">
      <c r="A113" s="5" t="n">
        <v>53.5</v>
      </c>
      <c r="B113" s="5" t="n">
        <v>0.0058</v>
      </c>
      <c r="C113" s="7">
        <f>IF(B113&gt;0.03,LN(B113),"")</f>
        <v/>
      </c>
      <c r="D113" s="7">
        <f>IF(A114&lt;&gt;"",0.5*(B113+B114)/1000*(A114-A113),"")</f>
        <v/>
      </c>
    </row>
    <row r="114">
      <c r="A114" s="5" t="n">
        <v>54</v>
      </c>
      <c r="B114" s="5" t="n">
        <v>0.0058</v>
      </c>
      <c r="C114" s="7">
        <f>IF(B114&gt;0.03,LN(B114),"")</f>
        <v/>
      </c>
      <c r="D114" s="7">
        <f>IF(A115&lt;&gt;"",0.5*(B114+B115)/1000*(A115-A114),"")</f>
        <v/>
      </c>
    </row>
    <row r="115">
      <c r="A115" s="5" t="n">
        <v>54.5</v>
      </c>
      <c r="B115" s="5" t="n">
        <v>0.0074</v>
      </c>
      <c r="C115" s="7">
        <f>IF(B115&gt;0.03,LN(B115),"")</f>
        <v/>
      </c>
      <c r="D115" s="7">
        <f>IF(A116&lt;&gt;"",0.5*(B115+B116)/1000*(A116-A115),"")</f>
        <v/>
      </c>
    </row>
    <row r="116">
      <c r="A116" s="5" t="n">
        <v>55</v>
      </c>
      <c r="B116" s="5" t="n">
        <v>0.0064</v>
      </c>
      <c r="C116" s="7">
        <f>IF(B116&gt;0.03,LN(B116),"")</f>
        <v/>
      </c>
      <c r="D116" s="7">
        <f>IF(A117&lt;&gt;"",0.5*(B116+B117)/1000*(A117-A116),"")</f>
        <v/>
      </c>
    </row>
    <row r="117">
      <c r="A117" s="5" t="n">
        <v>55.5</v>
      </c>
      <c r="B117" s="5" t="n">
        <v>0.0031</v>
      </c>
      <c r="C117" s="7">
        <f>IF(B117&gt;0.03,LN(B117),"")</f>
        <v/>
      </c>
      <c r="D117" s="7">
        <f>IF(A118&lt;&gt;"",0.5*(B117+B118)/1000*(A118-A117),"")</f>
        <v/>
      </c>
    </row>
    <row r="118">
      <c r="A118" s="5" t="n">
        <v>56</v>
      </c>
      <c r="B118" s="5" t="n">
        <v>0.0024</v>
      </c>
      <c r="C118" s="7">
        <f>IF(B118&gt;0.03,LN(B118),"")</f>
        <v/>
      </c>
      <c r="D118" s="7">
        <f>IF(A119&lt;&gt;"",0.5*(B118+B119)/1000*(A119-A118),"")</f>
        <v/>
      </c>
    </row>
    <row r="119">
      <c r="A119" s="5" t="n">
        <v>56.5</v>
      </c>
      <c r="B119" s="5" t="n">
        <v>0.0036</v>
      </c>
      <c r="C119" s="7">
        <f>IF(B119&gt;0.03,LN(B119),"")</f>
        <v/>
      </c>
      <c r="D119" s="7">
        <f>IF(A120&lt;&gt;"",0.5*(B119+B120)/1000*(A120-A119),"")</f>
        <v/>
      </c>
    </row>
    <row r="120">
      <c r="A120" s="5" t="n">
        <v>57</v>
      </c>
      <c r="B120" s="5" t="n">
        <v>0.0055</v>
      </c>
      <c r="C120" s="7">
        <f>IF(B120&gt;0.03,LN(B120),"")</f>
        <v/>
      </c>
      <c r="D120" s="7">
        <f>IF(A121&lt;&gt;"",0.5*(B120+B121)/1000*(A121-A120),"")</f>
        <v/>
      </c>
    </row>
    <row r="121">
      <c r="A121" s="5" t="n">
        <v>57.5</v>
      </c>
      <c r="B121" s="5" t="n">
        <v>0.0041</v>
      </c>
      <c r="C121" s="7">
        <f>IF(B121&gt;0.03,LN(B121),"")</f>
        <v/>
      </c>
      <c r="D121" s="7">
        <f>IF(A122&lt;&gt;"",0.5*(B121+B122)/1000*(A122-A121),"")</f>
        <v/>
      </c>
    </row>
    <row r="122">
      <c r="A122" s="5" t="n">
        <v>58</v>
      </c>
      <c r="B122" s="5" t="n">
        <v>0.0032</v>
      </c>
      <c r="C122" s="7">
        <f>IF(B122&gt;0.03,LN(B122),"")</f>
        <v/>
      </c>
      <c r="D122" s="7">
        <f>IF(A123&lt;&gt;"",0.5*(B122+B123)/1000*(A123-A122),"")</f>
        <v/>
      </c>
    </row>
    <row r="123">
      <c r="A123" s="5" t="n">
        <v>58.5</v>
      </c>
      <c r="B123" s="5" t="n">
        <v>0.0069</v>
      </c>
      <c r="C123" s="7">
        <f>IF(B123&gt;0.03,LN(B123),"")</f>
        <v/>
      </c>
      <c r="D123" s="7">
        <f>IF(A124&lt;&gt;"",0.5*(B123+B124)/1000*(A124-A123),"")</f>
        <v/>
      </c>
    </row>
    <row r="124">
      <c r="A124" s="5" t="n">
        <v>59</v>
      </c>
      <c r="B124" s="5" t="n">
        <v>0.0033</v>
      </c>
      <c r="C124" s="7">
        <f>IF(B124&gt;0.03,LN(B124),"")</f>
        <v/>
      </c>
      <c r="D124" s="7">
        <f>IF(A125&lt;&gt;"",0.5*(B124+B125)/1000*(A125-A124),"")</f>
        <v/>
      </c>
    </row>
    <row r="125">
      <c r="A125" s="5" t="n">
        <v>59.5</v>
      </c>
      <c r="B125" s="5" t="n">
        <v>0.0044</v>
      </c>
      <c r="C125" s="7">
        <f>IF(B125&gt;0.03,LN(B125),"")</f>
        <v/>
      </c>
      <c r="D125" s="7">
        <f>IF(A126&lt;&gt;"",0.5*(B125+B126)/1000*(A126-A125),"")</f>
        <v/>
      </c>
    </row>
    <row r="126">
      <c r="A126" s="5" t="n">
        <v>60</v>
      </c>
      <c r="B126" s="5" t="n">
        <v>0.0046</v>
      </c>
      <c r="C126" s="7">
        <f>IF(B126&gt;0.03,LN(B126),"")</f>
        <v/>
      </c>
      <c r="D126" s="7">
        <f>IF(A127&lt;&gt;"",0.5*(B126+B127)/1000*(A127-A126),"")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2026-10-18T12:28:42Z</dcterms:created>
  <dcterms:modified xmlns:dcterms="http://purl.org/dc/terms/" xmlns:xsi="http://www.w3.org/2001/XMLSchema-instance" xsi:type="dcterms:W3CDTF">2026-10-18T12:28:42Z</dcterms:modified>
</cp:coreProperties>
</file>