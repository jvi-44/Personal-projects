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 against sin(θ/2)</a:t>
            </a:r>
          </a:p>
        </rich>
      </tx>
    </title>
    <plotArea>
      <scatterChart>
        <ser>
          <idx val="0"/>
          <order val="0"/>
          <tx>
            <strRef>
              <f>'Suggested solution'!D5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solution'!$E$6:$E$11</f>
            </numRef>
          </xVal>
          <yVal>
            <numRef>
              <f>'Suggested solution'!$D$6:$D$11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sin(θ/2)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</cols>
  <sheetData>
    <row r="1">
      <c r="A1" s="1" t="inlineStr">
        <is>
          <t>HCI Q3 – Bent-wire torsion pendulum (sample data)</t>
        </is>
      </c>
    </row>
    <row r="2">
      <c r="A2" s="2" t="inlineStr">
        <is>
          <t>C = 16.4 cm, m = 68.0 g. Times are for 10 oscillations. Plot T against sin(θ/2) and find k.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θ / °</t>
        </is>
      </c>
      <c r="B5" s="4" t="inlineStr">
        <is>
          <t>t1 / s</t>
        </is>
      </c>
      <c r="C5" s="4" t="inlineStr">
        <is>
          <t>t2 / s</t>
        </is>
      </c>
      <c r="D5" s="4" t="inlineStr">
        <is>
          <t>T / s</t>
        </is>
      </c>
      <c r="E5" s="4" t="inlineStr">
        <is>
          <t>sin(θ/2)</t>
        </is>
      </c>
    </row>
    <row r="6">
      <c r="A6" s="5" t="n">
        <v>39</v>
      </c>
      <c r="B6" s="5" t="n">
        <v>11.59</v>
      </c>
      <c r="C6" s="5" t="n">
        <v>11.79</v>
      </c>
      <c r="D6" s="6" t="n"/>
      <c r="E6" s="6" t="n"/>
    </row>
    <row r="7">
      <c r="A7" s="5" t="n">
        <v>61</v>
      </c>
      <c r="B7" s="5" t="n">
        <v>17.78</v>
      </c>
      <c r="C7" s="5" t="n">
        <v>17.62</v>
      </c>
      <c r="D7" s="6" t="n"/>
      <c r="E7" s="6" t="n"/>
    </row>
    <row r="8">
      <c r="A8" s="5" t="n">
        <v>81</v>
      </c>
      <c r="B8" s="5" t="n">
        <v>22.85</v>
      </c>
      <c r="C8" s="5" t="n">
        <v>22.6</v>
      </c>
      <c r="D8" s="6" t="n"/>
      <c r="E8" s="6" t="n"/>
    </row>
    <row r="9">
      <c r="A9" s="5" t="n">
        <v>99</v>
      </c>
      <c r="B9" s="5" t="n">
        <v>26.56</v>
      </c>
      <c r="C9" s="5" t="n">
        <v>26.75</v>
      </c>
      <c r="D9" s="6" t="n"/>
      <c r="E9" s="6" t="n"/>
    </row>
    <row r="10">
      <c r="A10" s="5" t="n">
        <v>119</v>
      </c>
      <c r="B10" s="5" t="n">
        <v>29.99</v>
      </c>
      <c r="C10" s="5" t="n">
        <v>30.02</v>
      </c>
      <c r="D10" s="6" t="n"/>
      <c r="E10" s="6" t="n"/>
    </row>
    <row r="11">
      <c r="A11" s="5" t="n">
        <v>141</v>
      </c>
      <c r="B11" s="5" t="n">
        <v>33.11</v>
      </c>
      <c r="C11" s="5" t="n">
        <v>33.07</v>
      </c>
      <c r="D11" s="6" t="n"/>
      <c r="E1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30" customWidth="1" min="7" max="7"/>
    <col width="16" customWidth="1" min="8" max="8"/>
    <col width="28" customWidth="1" min="9" max="9"/>
  </cols>
  <sheetData>
    <row r="1">
      <c r="A1" s="1" t="inlineStr">
        <is>
          <t>HCI Q3 – Bent-wire torsion pendulum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θ / °</t>
        </is>
      </c>
      <c r="B5" s="4" t="inlineStr">
        <is>
          <t>t1 / s</t>
        </is>
      </c>
      <c r="C5" s="4" t="inlineStr">
        <is>
          <t>t2 / s</t>
        </is>
      </c>
      <c r="D5" s="4" t="inlineStr">
        <is>
          <t>T / s</t>
        </is>
      </c>
      <c r="E5" s="4" t="inlineStr">
        <is>
          <t>sin(θ/2)</t>
        </is>
      </c>
      <c r="G5" s="4" t="inlineStr">
        <is>
          <t>Result</t>
        </is>
      </c>
      <c r="H5" s="4" t="inlineStr">
        <is>
          <t>Value</t>
        </is>
      </c>
      <c r="I5" s="4" t="inlineStr">
        <is>
          <t>Unit / note</t>
        </is>
      </c>
    </row>
    <row r="6">
      <c r="A6" s="5" t="n">
        <v>39</v>
      </c>
      <c r="B6" s="5" t="n">
        <v>11.59</v>
      </c>
      <c r="C6" s="5" t="n">
        <v>11.79</v>
      </c>
      <c r="D6" s="7">
        <f>(B6+C6)/20</f>
        <v/>
      </c>
      <c r="E6" s="7">
        <f>SIN(RADIANS(A6)/2)</f>
        <v/>
      </c>
      <c r="G6" s="5" t="inlineStr">
        <is>
          <t>gradient</t>
        </is>
      </c>
      <c r="H6" s="7">
        <f>SLOPE(D6:D11,E6:E11)</f>
        <v/>
      </c>
      <c r="I6" s="5" t="inlineStr">
        <is>
          <t>s</t>
        </is>
      </c>
    </row>
    <row r="7">
      <c r="A7" s="5" t="n">
        <v>61</v>
      </c>
      <c r="B7" s="5" t="n">
        <v>17.78</v>
      </c>
      <c r="C7" s="5" t="n">
        <v>17.62</v>
      </c>
      <c r="D7" s="7">
        <f>(B7+C7)/20</f>
        <v/>
      </c>
      <c r="E7" s="7">
        <f>SIN(RADIANS(A7)/2)</f>
        <v/>
      </c>
      <c r="G7" s="5" t="inlineStr">
        <is>
          <t>intercept</t>
        </is>
      </c>
      <c r="H7" s="7">
        <f>INTERCEPT(D6:D11,E6:E11)</f>
        <v/>
      </c>
      <c r="I7" s="5" t="inlineStr">
        <is>
          <t>s</t>
        </is>
      </c>
    </row>
    <row r="8">
      <c r="A8" s="5" t="n">
        <v>81</v>
      </c>
      <c r="B8" s="5" t="n">
        <v>22.85</v>
      </c>
      <c r="C8" s="5" t="n">
        <v>22.6</v>
      </c>
      <c r="D8" s="7">
        <f>(B8+C8)/20</f>
        <v/>
      </c>
      <c r="E8" s="7">
        <f>SIN(RADIANS(A8)/2)</f>
        <v/>
      </c>
      <c r="G8" s="5" t="inlineStr">
        <is>
          <t>k = m(2πC/gradient)²</t>
        </is>
      </c>
      <c r="H8" s="7">
        <f>0.068*(2*PI()*0.16399999999999998/SLOPE(D6:D11,E6:E11))^2</f>
        <v/>
      </c>
      <c r="I8" s="5" t="inlineStr">
        <is>
          <t>kg m² s⁻²</t>
        </is>
      </c>
    </row>
    <row r="9">
      <c r="A9" s="5" t="n">
        <v>99</v>
      </c>
      <c r="B9" s="5" t="n">
        <v>26.56</v>
      </c>
      <c r="C9" s="5" t="n">
        <v>26.75</v>
      </c>
      <c r="D9" s="7">
        <f>(B9+C9)/20</f>
        <v/>
      </c>
      <c r="E9" s="7">
        <f>SIN(RADIANS(A9)/2)</f>
        <v/>
      </c>
    </row>
    <row r="10">
      <c r="A10" s="5" t="n">
        <v>119</v>
      </c>
      <c r="B10" s="5" t="n">
        <v>29.99</v>
      </c>
      <c r="C10" s="5" t="n">
        <v>30.02</v>
      </c>
      <c r="D10" s="7">
        <f>(B10+C10)/20</f>
        <v/>
      </c>
      <c r="E10" s="7">
        <f>SIN(RADIANS(A10)/2)</f>
        <v/>
      </c>
    </row>
    <row r="11">
      <c r="A11" s="5" t="n">
        <v>141</v>
      </c>
      <c r="B11" s="5" t="n">
        <v>33.11</v>
      </c>
      <c r="C11" s="5" t="n">
        <v>33.07</v>
      </c>
      <c r="D11" s="7">
        <f>(B11+C11)/20</f>
        <v/>
      </c>
      <c r="E11" s="7">
        <f>SIN(RADIANS(A11)/2)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2026-10-18T09:37:07Z</dcterms:created>
  <dcterms:modified xmlns:dcterms="http://purl.org/dc/terms/" xmlns:xsi="http://www.w3.org/2001/XMLSchema-instance" xsi:type="dcterms:W3CDTF">2026-10-18T09:37:07Z</dcterms:modified>
</cp:coreProperties>
</file>