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T² against cos φ</a:t>
            </a:r>
          </a:p>
        </rich>
      </tx>
    </title>
    <plotArea>
      <scatterChart>
        <ser>
          <idx val="0"/>
          <order val="0"/>
          <tx>
            <strRef>
              <f>'Suggested solution'!F5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solution'!$E$6:$E$13</f>
            </numRef>
          </xVal>
          <yVal>
            <numRef>
              <f>'Suggested solution'!$F$6:$F$13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 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 / s²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NJC Q3(h) – Table 3.1 (given data)</t>
        </is>
      </c>
    </row>
    <row r="2">
      <c r="A2" s="2" t="inlineStr">
        <is>
          <t>p = 19 cm. Compute T = t/N and cos φ, plot T² against cos φ; gradient = εp.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N</t>
        </is>
      </c>
      <c r="B5" s="4" t="inlineStr">
        <is>
          <t>t / s</t>
        </is>
      </c>
      <c r="C5" s="4" t="inlineStr">
        <is>
          <t>φ / °</t>
        </is>
      </c>
      <c r="D5" s="4" t="inlineStr">
        <is>
          <t>T / s</t>
        </is>
      </c>
      <c r="E5" s="4" t="inlineStr">
        <is>
          <t>cos φ</t>
        </is>
      </c>
      <c r="F5" s="4" t="inlineStr">
        <is>
          <t>T² / s²</t>
        </is>
      </c>
    </row>
    <row r="6">
      <c r="A6" s="5" t="n">
        <v>20</v>
      </c>
      <c r="B6" s="6" t="n">
        <v>42.52</v>
      </c>
      <c r="C6" s="7" t="n">
        <v>10</v>
      </c>
      <c r="D6" s="8" t="n"/>
      <c r="E6" s="8" t="n"/>
      <c r="F6" s="8" t="n"/>
    </row>
    <row r="7">
      <c r="A7" s="5" t="n">
        <v>20</v>
      </c>
      <c r="B7" s="6" t="n">
        <v>41.55</v>
      </c>
      <c r="C7" s="7" t="n">
        <v>20</v>
      </c>
      <c r="D7" s="8" t="n"/>
      <c r="E7" s="8" t="n"/>
      <c r="F7" s="8" t="n"/>
    </row>
    <row r="8">
      <c r="A8" s="5" t="n">
        <v>20</v>
      </c>
      <c r="B8" s="6" t="n">
        <v>39.83</v>
      </c>
      <c r="C8" s="7" t="n">
        <v>30</v>
      </c>
      <c r="D8" s="8" t="n"/>
      <c r="E8" s="8" t="n"/>
      <c r="F8" s="8" t="n"/>
    </row>
    <row r="9">
      <c r="A9" s="5" t="n">
        <v>20</v>
      </c>
      <c r="B9" s="6" t="n">
        <v>37.56</v>
      </c>
      <c r="C9" s="7" t="n">
        <v>40</v>
      </c>
      <c r="D9" s="8" t="n"/>
      <c r="E9" s="8" t="n"/>
      <c r="F9" s="8" t="n"/>
    </row>
    <row r="10">
      <c r="A10" s="5" t="n">
        <v>20</v>
      </c>
      <c r="B10" s="6" t="n">
        <v>34.39</v>
      </c>
      <c r="C10" s="7" t="n">
        <v>50</v>
      </c>
      <c r="D10" s="8" t="n"/>
      <c r="E10" s="8" t="n"/>
      <c r="F10" s="8" t="n"/>
    </row>
    <row r="11">
      <c r="A11" s="5" t="n">
        <v>20</v>
      </c>
      <c r="B11" s="6" t="n">
        <v>30.31</v>
      </c>
      <c r="C11" s="7" t="n">
        <v>60</v>
      </c>
      <c r="D11" s="8" t="n"/>
      <c r="E11" s="8" t="n"/>
      <c r="F11" s="8" t="n"/>
    </row>
    <row r="12">
      <c r="A12" s="5" t="n">
        <v>20</v>
      </c>
      <c r="B12" s="6" t="n">
        <v>25.11</v>
      </c>
      <c r="C12" s="7" t="n">
        <v>70</v>
      </c>
      <c r="D12" s="8" t="n"/>
      <c r="E12" s="8" t="n"/>
      <c r="F12" s="8" t="n"/>
    </row>
    <row r="13">
      <c r="A13" s="5" t="n">
        <v>20</v>
      </c>
      <c r="B13" s="6" t="n">
        <v>17.84</v>
      </c>
      <c r="C13" s="7" t="n">
        <v>80</v>
      </c>
      <c r="D13" s="8" t="n"/>
      <c r="E13" s="8" t="n"/>
      <c r="F1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30" customWidth="1" min="8" max="8"/>
    <col width="16" customWidth="1" min="9" max="9"/>
    <col width="28" customWidth="1" min="10" max="10"/>
  </cols>
  <sheetData>
    <row r="1">
      <c r="A1" s="1" t="inlineStr">
        <is>
          <t>NJC Q3(h) – Table 3.1 (given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N</t>
        </is>
      </c>
      <c r="B5" s="4" t="inlineStr">
        <is>
          <t>t / s</t>
        </is>
      </c>
      <c r="C5" s="4" t="inlineStr">
        <is>
          <t>φ / °</t>
        </is>
      </c>
      <c r="D5" s="4" t="inlineStr">
        <is>
          <t>T / s</t>
        </is>
      </c>
      <c r="E5" s="4" t="inlineStr">
        <is>
          <t>cos φ</t>
        </is>
      </c>
      <c r="F5" s="4" t="inlineStr">
        <is>
          <t>T² / s²</t>
        </is>
      </c>
      <c r="H5" s="4" t="inlineStr">
        <is>
          <t>Result</t>
        </is>
      </c>
      <c r="I5" s="4" t="inlineStr">
        <is>
          <t>Value</t>
        </is>
      </c>
      <c r="J5" s="4" t="inlineStr">
        <is>
          <t>Unit / note</t>
        </is>
      </c>
    </row>
    <row r="6">
      <c r="A6" s="5" t="n">
        <v>20</v>
      </c>
      <c r="B6" s="6" t="n">
        <v>42.52</v>
      </c>
      <c r="C6" s="7" t="n">
        <v>10</v>
      </c>
      <c r="D6" s="9">
        <f>ROUND(B6/A6,3)</f>
        <v/>
      </c>
      <c r="E6" s="9">
        <f>COS(RADIANS(C6))</f>
        <v/>
      </c>
      <c r="F6" s="9">
        <f>D6^2</f>
        <v/>
      </c>
      <c r="H6" s="5" t="inlineStr">
        <is>
          <t>gradient = εp</t>
        </is>
      </c>
      <c r="I6" s="9">
        <f>SLOPE(F6:F13,E6:E13)</f>
        <v/>
      </c>
      <c r="J6" s="5" t="inlineStr">
        <is>
          <t>s²</t>
        </is>
      </c>
    </row>
    <row r="7">
      <c r="A7" s="5" t="n">
        <v>20</v>
      </c>
      <c r="B7" s="6" t="n">
        <v>41.55</v>
      </c>
      <c r="C7" s="7" t="n">
        <v>20</v>
      </c>
      <c r="D7" s="9">
        <f>ROUND(B7/A7,3)</f>
        <v/>
      </c>
      <c r="E7" s="9">
        <f>COS(RADIANS(C7))</f>
        <v/>
      </c>
      <c r="F7" s="9">
        <f>D7^2</f>
        <v/>
      </c>
      <c r="H7" s="5" t="inlineStr">
        <is>
          <t>ε = gradient / 0.19</t>
        </is>
      </c>
      <c r="I7" s="9">
        <f>SLOPE(F6:F13,E6:E13)/0.19</f>
        <v/>
      </c>
      <c r="J7" s="5" t="inlineStr">
        <is>
          <t>s² m⁻¹</t>
        </is>
      </c>
    </row>
    <row r="8">
      <c r="A8" s="5" t="n">
        <v>20</v>
      </c>
      <c r="B8" s="6" t="n">
        <v>39.83</v>
      </c>
      <c r="C8" s="7" t="n">
        <v>30</v>
      </c>
      <c r="D8" s="9">
        <f>ROUND(B8/A8,3)</f>
        <v/>
      </c>
      <c r="E8" s="9">
        <f>COS(RADIANS(C8))</f>
        <v/>
      </c>
      <c r="F8" s="9">
        <f>D8^2</f>
        <v/>
      </c>
      <c r="H8" s="5" t="inlineStr">
        <is>
          <t>g = 4π²/ε</t>
        </is>
      </c>
      <c r="I8" s="9">
        <f>4*PI()^2/(SLOPE(F6:F13,E6:E13)/0.19)</f>
        <v/>
      </c>
      <c r="J8" s="5" t="inlineStr">
        <is>
          <t>m s⁻²</t>
        </is>
      </c>
    </row>
    <row r="9">
      <c r="A9" s="5" t="n">
        <v>20</v>
      </c>
      <c r="B9" s="6" t="n">
        <v>37.56</v>
      </c>
      <c r="C9" s="7" t="n">
        <v>40</v>
      </c>
      <c r="D9" s="9">
        <f>ROUND(B9/A9,3)</f>
        <v/>
      </c>
      <c r="E9" s="9">
        <f>COS(RADIANS(C9))</f>
        <v/>
      </c>
      <c r="F9" s="9">
        <f>D9^2</f>
        <v/>
      </c>
    </row>
    <row r="10">
      <c r="A10" s="5" t="n">
        <v>20</v>
      </c>
      <c r="B10" s="6" t="n">
        <v>34.39</v>
      </c>
      <c r="C10" s="7" t="n">
        <v>50</v>
      </c>
      <c r="D10" s="9">
        <f>ROUND(B10/A10,3)</f>
        <v/>
      </c>
      <c r="E10" s="9">
        <f>COS(RADIANS(C10))</f>
        <v/>
      </c>
      <c r="F10" s="9">
        <f>D10^2</f>
        <v/>
      </c>
    </row>
    <row r="11">
      <c r="A11" s="5" t="n">
        <v>20</v>
      </c>
      <c r="B11" s="6" t="n">
        <v>30.31</v>
      </c>
      <c r="C11" s="7" t="n">
        <v>60</v>
      </c>
      <c r="D11" s="9">
        <f>ROUND(B11/A11,3)</f>
        <v/>
      </c>
      <c r="E11" s="9">
        <f>COS(RADIANS(C11))</f>
        <v/>
      </c>
      <c r="F11" s="9">
        <f>D11^2</f>
        <v/>
      </c>
    </row>
    <row r="12">
      <c r="A12" s="5" t="n">
        <v>20</v>
      </c>
      <c r="B12" s="6" t="n">
        <v>25.11</v>
      </c>
      <c r="C12" s="7" t="n">
        <v>70</v>
      </c>
      <c r="D12" s="9">
        <f>ROUND(B12/A12,3)</f>
        <v/>
      </c>
      <c r="E12" s="9">
        <f>COS(RADIANS(C12))</f>
        <v/>
      </c>
      <c r="F12" s="9">
        <f>D12^2</f>
        <v/>
      </c>
    </row>
    <row r="13">
      <c r="A13" s="5" t="n">
        <v>20</v>
      </c>
      <c r="B13" s="6" t="n">
        <v>17.84</v>
      </c>
      <c r="C13" s="7" t="n">
        <v>80</v>
      </c>
      <c r="D13" s="9">
        <f>ROUND(B13/A13,3)</f>
        <v/>
      </c>
      <c r="E13" s="9">
        <f>COS(RADIANS(C13))</f>
        <v/>
      </c>
      <c r="F13" s="9">
        <f>D13^2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2026-10-18T22:24:54Z</dcterms:created>
  <dcterms:modified xmlns:dcterms="http://purl.org/dc/terms/" xmlns:xsi="http://www.w3.org/2001/XMLSchema-instance" xsi:type="dcterms:W3CDTF">2026-10-18T22:24:54Z</dcterms:modified>
</cp:coreProperties>
</file>