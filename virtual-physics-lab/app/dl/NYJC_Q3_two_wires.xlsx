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1/I against x</a:t>
            </a:r>
          </a:p>
        </rich>
      </tx>
    </title>
    <plotArea>
      <scatterChart>
        <ser>
          <idx val="0"/>
          <order val="0"/>
          <tx>
            <strRef>
              <f>'Suggested solution'!D5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solution'!$C$6:$C$12</f>
            </numRef>
          </xVal>
          <yVal>
            <numRef>
              <f>'Suggested solution'!$D$6:$D$12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/ 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1/I / A⁻¹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</cols>
  <sheetData>
    <row r="1">
      <c r="A1" s="1" t="inlineStr">
        <is>
          <t>NYJC Q3 – Two wires (sample data)</t>
        </is>
      </c>
    </row>
    <row r="2">
      <c r="A2" s="2" t="inlineStr">
        <is>
          <t>Plot 1/I against x (in m). P = gradient, Q = intercept.</t>
        </is>
      </c>
    </row>
    <row r="4">
      <c r="C4" s="3" t="inlineStr">
        <is>
          <t>Your processing → fill the yellow cells, then plot your own graph.</t>
        </is>
      </c>
    </row>
    <row r="5">
      <c r="A5" s="4" t="inlineStr">
        <is>
          <t>x / cm</t>
        </is>
      </c>
      <c r="B5" s="4" t="inlineStr">
        <is>
          <t>I / A</t>
        </is>
      </c>
      <c r="C5" s="4" t="inlineStr">
        <is>
          <t>x / m</t>
        </is>
      </c>
      <c r="D5" s="4" t="inlineStr">
        <is>
          <t>1/I / A⁻¹</t>
        </is>
      </c>
    </row>
    <row r="6">
      <c r="A6" s="5" t="n">
        <v>10</v>
      </c>
      <c r="B6" s="5" t="n">
        <v>0.295</v>
      </c>
      <c r="C6" s="6" t="n"/>
      <c r="D6" s="6" t="n"/>
    </row>
    <row r="7">
      <c r="A7" s="5" t="n">
        <v>25</v>
      </c>
      <c r="B7" s="5" t="n">
        <v>0.263</v>
      </c>
      <c r="C7" s="6" t="n"/>
      <c r="D7" s="6" t="n"/>
    </row>
    <row r="8">
      <c r="A8" s="5" t="n">
        <v>40</v>
      </c>
      <c r="B8" s="5" t="n">
        <v>0.24</v>
      </c>
      <c r="C8" s="6" t="n"/>
      <c r="D8" s="6" t="n"/>
    </row>
    <row r="9">
      <c r="A9" s="5" t="n">
        <v>50</v>
      </c>
      <c r="B9" s="5" t="n">
        <v>0.224</v>
      </c>
      <c r="C9" s="6" t="n"/>
      <c r="D9" s="6" t="n"/>
    </row>
    <row r="10">
      <c r="A10" s="5" t="n">
        <v>65</v>
      </c>
      <c r="B10" s="5" t="n">
        <v>0.207</v>
      </c>
      <c r="C10" s="6" t="n"/>
      <c r="D10" s="6" t="n"/>
    </row>
    <row r="11">
      <c r="A11" s="5" t="n">
        <v>80</v>
      </c>
      <c r="B11" s="5" t="n">
        <v>0.192</v>
      </c>
      <c r="C11" s="6" t="n"/>
      <c r="D11" s="6" t="n"/>
    </row>
    <row r="12">
      <c r="A12" s="5" t="n">
        <v>90</v>
      </c>
      <c r="B12" s="5" t="n">
        <v>0.182</v>
      </c>
      <c r="C12" s="6" t="n"/>
      <c r="D12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30" customWidth="1" min="6" max="6"/>
    <col width="16" customWidth="1" min="7" max="7"/>
    <col width="28" customWidth="1" min="8" max="8"/>
  </cols>
  <sheetData>
    <row r="1">
      <c r="A1" s="1" t="inlineStr">
        <is>
          <t>NYJC Q3 – Two wires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x / cm</t>
        </is>
      </c>
      <c r="B5" s="4" t="inlineStr">
        <is>
          <t>I / A</t>
        </is>
      </c>
      <c r="C5" s="4" t="inlineStr">
        <is>
          <t>x / m</t>
        </is>
      </c>
      <c r="D5" s="4" t="inlineStr">
        <is>
          <t>1/I / A⁻¹</t>
        </is>
      </c>
      <c r="F5" s="4" t="inlineStr">
        <is>
          <t>Result</t>
        </is>
      </c>
      <c r="G5" s="4" t="inlineStr">
        <is>
          <t>Value</t>
        </is>
      </c>
      <c r="H5" s="4" t="inlineStr">
        <is>
          <t>Unit / note</t>
        </is>
      </c>
    </row>
    <row r="6">
      <c r="A6" s="5" t="n">
        <v>10</v>
      </c>
      <c r="B6" s="5" t="n">
        <v>0.295</v>
      </c>
      <c r="C6" s="7">
        <f>A6/100</f>
        <v/>
      </c>
      <c r="D6" s="7">
        <f>1/B6</f>
        <v/>
      </c>
      <c r="F6" s="5" t="inlineStr">
        <is>
          <t>P = gradient</t>
        </is>
      </c>
      <c r="G6" s="7">
        <f>SLOPE(D6:D12,C6:C12)</f>
        <v/>
      </c>
      <c r="H6" s="5" t="inlineStr">
        <is>
          <t>A⁻¹ m⁻¹</t>
        </is>
      </c>
    </row>
    <row r="7">
      <c r="A7" s="5" t="n">
        <v>25</v>
      </c>
      <c r="B7" s="5" t="n">
        <v>0.263</v>
      </c>
      <c r="C7" s="7">
        <f>A7/100</f>
        <v/>
      </c>
      <c r="D7" s="7">
        <f>1/B7</f>
        <v/>
      </c>
      <c r="F7" s="5" t="inlineStr">
        <is>
          <t>Q = intercept</t>
        </is>
      </c>
      <c r="G7" s="7">
        <f>INTERCEPT(D6:D12,C6:C12)</f>
        <v/>
      </c>
      <c r="H7" s="5" t="inlineStr">
        <is>
          <t>A⁻¹</t>
        </is>
      </c>
    </row>
    <row r="8">
      <c r="A8" s="5" t="n">
        <v>40</v>
      </c>
      <c r="B8" s="5" t="n">
        <v>0.24</v>
      </c>
      <c r="C8" s="7">
        <f>A8/100</f>
        <v/>
      </c>
      <c r="D8" s="7">
        <f>1/B8</f>
        <v/>
      </c>
      <c r="F8" s="5" t="inlineStr">
        <is>
          <t>d_G/d_F = √(1 + LP/Q)</t>
        </is>
      </c>
      <c r="G8" s="7">
        <f>SQRT(1+SLOPE(D6:D12,C6:C12)/INTERCEPT(D6:D12,C6:C12))</f>
        <v/>
      </c>
      <c r="H8" s="5" t="inlineStr"/>
    </row>
    <row r="9">
      <c r="A9" s="5" t="n">
        <v>50</v>
      </c>
      <c r="B9" s="5" t="n">
        <v>0.224</v>
      </c>
      <c r="C9" s="7">
        <f>A9/100</f>
        <v/>
      </c>
      <c r="D9" s="7">
        <f>1/B9</f>
        <v/>
      </c>
    </row>
    <row r="10">
      <c r="A10" s="5" t="n">
        <v>65</v>
      </c>
      <c r="B10" s="5" t="n">
        <v>0.207</v>
      </c>
      <c r="C10" s="7">
        <f>A10/100</f>
        <v/>
      </c>
      <c r="D10" s="7">
        <f>1/B10</f>
        <v/>
      </c>
    </row>
    <row r="11">
      <c r="A11" s="5" t="n">
        <v>80</v>
      </c>
      <c r="B11" s="5" t="n">
        <v>0.192</v>
      </c>
      <c r="C11" s="7">
        <f>A11/100</f>
        <v/>
      </c>
      <c r="D11" s="7">
        <f>1/B11</f>
        <v/>
      </c>
    </row>
    <row r="12">
      <c r="A12" s="5" t="n">
        <v>90</v>
      </c>
      <c r="B12" s="5" t="n">
        <v>0.182</v>
      </c>
      <c r="C12" s="7">
        <f>A12/100</f>
        <v/>
      </c>
      <c r="D12" s="7">
        <f>1/B12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2026-10-18T09:37:33Z</dcterms:created>
  <dcterms:modified xmlns:dcterms="http://purl.org/dc/terms/" xmlns:xsi="http://www.w3.org/2001/XMLSchema-instance" xsi:type="dcterms:W3CDTF">2026-10-18T09:37:33Z</dcterms:modified>
</cp:coreProperties>
</file>