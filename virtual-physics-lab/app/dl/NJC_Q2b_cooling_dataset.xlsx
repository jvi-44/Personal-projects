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 data" sheetId="1" state="visible" r:id="rId1"/>
    <sheet xmlns:r="http://schemas.openxmlformats.org/officeDocument/2006/relationships" name="Suggested solu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1D2A44"/>
      <sz val="14"/>
    </font>
    <font>
      <i val="1"/>
      <color rgb="0055617A"/>
    </font>
    <font>
      <b val="1"/>
      <color rgb="00FFFFFF"/>
    </font>
    <font>
      <b val="1"/>
      <color rgb="009A5B00"/>
    </font>
    <font>
      <color rgb="001550C8"/>
    </font>
  </fonts>
  <fills count="4">
    <fill>
      <patternFill/>
    </fill>
    <fill>
      <patternFill patternType="gray125"/>
    </fill>
    <fill>
      <patternFill patternType="solid">
        <fgColor rgb="002A4D8F"/>
      </patternFill>
    </fill>
    <fill>
      <patternFill patternType="solid">
        <fgColor rgb="00FFF4CC"/>
      </patternFill>
    </fill>
  </fills>
  <borders count="2">
    <border>
      <left/>
      <right/>
      <top/>
      <bottom/>
      <diagonal/>
    </border>
    <border>
      <left style="thin">
        <color rgb="00B8C4DA"/>
      </left>
      <right style="thin">
        <color rgb="00B8C4DA"/>
      </right>
      <top style="thin">
        <color rgb="00B8C4DA"/>
      </top>
      <bottom style="thin">
        <color rgb="00B8C4DA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4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3" borderId="1" pivotButton="0" quotePrefix="0" xfId="0"/>
    <xf numFmtId="0" fontId="5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ln(θ − 30) against t</a:t>
            </a:r>
          </a:p>
        </rich>
      </tx>
    </title>
    <plotArea>
      <scatterChart>
        <ser>
          <idx val="0"/>
          <order val="0"/>
          <tx>
            <strRef>
              <f>'Suggested solution'!C5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x"/>
            <size val="7"/>
            <spPr>
              <a:ln xmlns:a="http://schemas.openxmlformats.org/drawingml/2006/main">
                <a:prstDash val="solid"/>
              </a:ln>
            </spPr>
          </marker>
          <trendline>
            <trendlineType val="linear"/>
            <dispRSqr val="1"/>
            <dispEq val="1"/>
          </trendline>
          <xVal>
            <numRef>
              <f>'Suggested solution'!$A$6:$A$66</f>
            </numRef>
          </xVal>
          <yVal>
            <numRef>
              <f>'Suggested solution'!$C$6:$C$66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 / s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ln(θ − 30)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11</row>
      <rowOff>0</rowOff>
    </from>
    <ext cx="576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</cols>
  <sheetData>
    <row r="1">
      <c r="A1" s="1" t="inlineStr">
        <is>
          <t>NJC Q2(b) – Datalogger cooling data (practice dataset)</t>
        </is>
      </c>
    </row>
    <row r="2">
      <c r="A2" s="2" t="inlineStr">
        <is>
          <t>Take m = 30 °C. Plot ln(θ − 30) against t; gradient = −k, intercept = ln n.</t>
        </is>
      </c>
    </row>
    <row r="4">
      <c r="C4" s="3" t="inlineStr">
        <is>
          <t>Your processing → fill the yellow cells, then plot your own graph.</t>
        </is>
      </c>
    </row>
    <row r="5">
      <c r="A5" s="4" t="inlineStr">
        <is>
          <t>t / s</t>
        </is>
      </c>
      <c r="B5" s="4" t="inlineStr">
        <is>
          <t>θ / °C</t>
        </is>
      </c>
      <c r="C5" s="4" t="inlineStr">
        <is>
          <t>ln(θ − 30)</t>
        </is>
      </c>
    </row>
    <row r="6">
      <c r="A6" s="5" t="n">
        <v>0</v>
      </c>
      <c r="B6" s="5" t="n">
        <v>87.97</v>
      </c>
      <c r="C6" s="6" t="n"/>
    </row>
    <row r="7">
      <c r="A7" s="5" t="n">
        <v>30</v>
      </c>
      <c r="B7" s="5" t="n">
        <v>86.14</v>
      </c>
      <c r="C7" s="6" t="n"/>
    </row>
    <row r="8">
      <c r="A8" s="5" t="n">
        <v>60</v>
      </c>
      <c r="B8" s="5" t="n">
        <v>84.52</v>
      </c>
      <c r="C8" s="6" t="n"/>
    </row>
    <row r="9">
      <c r="A9" s="5" t="n">
        <v>90</v>
      </c>
      <c r="B9" s="5" t="n">
        <v>82.67</v>
      </c>
      <c r="C9" s="6" t="n"/>
    </row>
    <row r="10">
      <c r="A10" s="5" t="n">
        <v>120</v>
      </c>
      <c r="B10" s="5" t="n">
        <v>81.06</v>
      </c>
      <c r="C10" s="6" t="n"/>
    </row>
    <row r="11">
      <c r="A11" s="5" t="n">
        <v>150</v>
      </c>
      <c r="B11" s="5" t="n">
        <v>79.48999999999999</v>
      </c>
      <c r="C11" s="6" t="n"/>
    </row>
    <row r="12">
      <c r="A12" s="5" t="n">
        <v>180</v>
      </c>
      <c r="B12" s="5" t="n">
        <v>78.14</v>
      </c>
      <c r="C12" s="6" t="n"/>
    </row>
    <row r="13">
      <c r="A13" s="5" t="n">
        <v>210</v>
      </c>
      <c r="B13" s="5" t="n">
        <v>76.53</v>
      </c>
      <c r="C13" s="6" t="n"/>
    </row>
    <row r="14">
      <c r="A14" s="5" t="n">
        <v>240</v>
      </c>
      <c r="B14" s="5" t="n">
        <v>75.23999999999999</v>
      </c>
      <c r="C14" s="6" t="n"/>
    </row>
    <row r="15">
      <c r="A15" s="5" t="n">
        <v>270</v>
      </c>
      <c r="B15" s="5" t="n">
        <v>73.67</v>
      </c>
      <c r="C15" s="6" t="n"/>
    </row>
    <row r="16">
      <c r="A16" s="5" t="n">
        <v>300</v>
      </c>
      <c r="B16" s="5" t="n">
        <v>72.25</v>
      </c>
      <c r="C16" s="6" t="n"/>
    </row>
    <row r="17">
      <c r="A17" s="5" t="n">
        <v>330</v>
      </c>
      <c r="B17" s="5" t="n">
        <v>71.06</v>
      </c>
      <c r="C17" s="6" t="n"/>
    </row>
    <row r="18">
      <c r="A18" s="5" t="n">
        <v>360</v>
      </c>
      <c r="B18" s="5" t="n">
        <v>69.75</v>
      </c>
      <c r="C18" s="6" t="n"/>
    </row>
    <row r="19">
      <c r="A19" s="5" t="n">
        <v>390</v>
      </c>
      <c r="B19" s="5" t="n">
        <v>68.41</v>
      </c>
      <c r="C19" s="6" t="n"/>
    </row>
    <row r="20">
      <c r="A20" s="5" t="n">
        <v>420</v>
      </c>
      <c r="B20" s="5" t="n">
        <v>67.27</v>
      </c>
      <c r="C20" s="6" t="n"/>
    </row>
    <row r="21">
      <c r="A21" s="5" t="n">
        <v>450</v>
      </c>
      <c r="B21" s="5" t="n">
        <v>66.06</v>
      </c>
      <c r="C21" s="6" t="n"/>
    </row>
    <row r="22">
      <c r="A22" s="5" t="n">
        <v>480</v>
      </c>
      <c r="B22" s="5" t="n">
        <v>65.11</v>
      </c>
      <c r="C22" s="6" t="n"/>
    </row>
    <row r="23">
      <c r="A23" s="5" t="n">
        <v>510</v>
      </c>
      <c r="B23" s="5" t="n">
        <v>63.99</v>
      </c>
      <c r="C23" s="6" t="n"/>
    </row>
    <row r="24">
      <c r="A24" s="5" t="n">
        <v>540</v>
      </c>
      <c r="B24" s="5" t="n">
        <v>63.06</v>
      </c>
      <c r="C24" s="6" t="n"/>
    </row>
    <row r="25">
      <c r="A25" s="5" t="n">
        <v>570</v>
      </c>
      <c r="B25" s="5" t="n">
        <v>61.93</v>
      </c>
      <c r="C25" s="6" t="n"/>
    </row>
    <row r="26">
      <c r="A26" s="5" t="n">
        <v>600</v>
      </c>
      <c r="B26" s="5" t="n">
        <v>60.9</v>
      </c>
      <c r="C26" s="6" t="n"/>
    </row>
    <row r="27">
      <c r="A27" s="5" t="n">
        <v>630</v>
      </c>
      <c r="B27" s="5" t="n">
        <v>60.04</v>
      </c>
      <c r="C27" s="6" t="n"/>
    </row>
    <row r="28">
      <c r="A28" s="5" t="n">
        <v>660</v>
      </c>
      <c r="B28" s="5" t="n">
        <v>58.97</v>
      </c>
      <c r="C28" s="6" t="n"/>
    </row>
    <row r="29">
      <c r="A29" s="5" t="n">
        <v>690</v>
      </c>
      <c r="B29" s="5" t="n">
        <v>58.2</v>
      </c>
      <c r="C29" s="6" t="n"/>
    </row>
    <row r="30">
      <c r="A30" s="5" t="n">
        <v>720</v>
      </c>
      <c r="B30" s="5" t="n">
        <v>57.28</v>
      </c>
      <c r="C30" s="6" t="n"/>
    </row>
    <row r="31">
      <c r="A31" s="5" t="n">
        <v>750</v>
      </c>
      <c r="B31" s="5" t="n">
        <v>56.33</v>
      </c>
      <c r="C31" s="6" t="n"/>
    </row>
    <row r="32">
      <c r="A32" s="5" t="n">
        <v>780</v>
      </c>
      <c r="B32" s="5" t="n">
        <v>55.54</v>
      </c>
      <c r="C32" s="6" t="n"/>
    </row>
    <row r="33">
      <c r="A33" s="5" t="n">
        <v>810</v>
      </c>
      <c r="B33" s="5" t="n">
        <v>54.69</v>
      </c>
      <c r="C33" s="6" t="n"/>
    </row>
    <row r="34">
      <c r="A34" s="5" t="n">
        <v>840</v>
      </c>
      <c r="B34" s="5" t="n">
        <v>53.97</v>
      </c>
      <c r="C34" s="6" t="n"/>
    </row>
    <row r="35">
      <c r="A35" s="5" t="n">
        <v>870</v>
      </c>
      <c r="B35" s="5" t="n">
        <v>53.29</v>
      </c>
      <c r="C35" s="6" t="n"/>
    </row>
    <row r="36">
      <c r="A36" s="5" t="n">
        <v>900</v>
      </c>
      <c r="B36" s="5" t="n">
        <v>52.59</v>
      </c>
      <c r="C36" s="6" t="n"/>
    </row>
    <row r="37">
      <c r="A37" s="5" t="n">
        <v>930</v>
      </c>
      <c r="B37" s="5" t="n">
        <v>51.83</v>
      </c>
      <c r="C37" s="6" t="n"/>
    </row>
    <row r="38">
      <c r="A38" s="5" t="n">
        <v>960</v>
      </c>
      <c r="B38" s="5" t="n">
        <v>51.21</v>
      </c>
      <c r="C38" s="6" t="n"/>
    </row>
    <row r="39">
      <c r="A39" s="5" t="n">
        <v>990</v>
      </c>
      <c r="B39" s="5" t="n">
        <v>50.61</v>
      </c>
      <c r="C39" s="6" t="n"/>
    </row>
    <row r="40">
      <c r="A40" s="5" t="n">
        <v>1020</v>
      </c>
      <c r="B40" s="5" t="n">
        <v>49.98</v>
      </c>
      <c r="C40" s="6" t="n"/>
    </row>
    <row r="41">
      <c r="A41" s="5" t="n">
        <v>1050</v>
      </c>
      <c r="B41" s="5" t="n">
        <v>49.36</v>
      </c>
      <c r="C41" s="6" t="n"/>
    </row>
    <row r="42">
      <c r="A42" s="5" t="n">
        <v>1080</v>
      </c>
      <c r="B42" s="5" t="n">
        <v>48.72</v>
      </c>
      <c r="C42" s="6" t="n"/>
    </row>
    <row r="43">
      <c r="A43" s="5" t="n">
        <v>1110</v>
      </c>
      <c r="B43" s="5" t="n">
        <v>48.04</v>
      </c>
      <c r="C43" s="6" t="n"/>
    </row>
    <row r="44">
      <c r="A44" s="5" t="n">
        <v>1140</v>
      </c>
      <c r="B44" s="5" t="n">
        <v>47.65</v>
      </c>
      <c r="C44" s="6" t="n"/>
    </row>
    <row r="45">
      <c r="A45" s="5" t="n">
        <v>1170</v>
      </c>
      <c r="B45" s="5" t="n">
        <v>47.04</v>
      </c>
      <c r="C45" s="6" t="n"/>
    </row>
    <row r="46">
      <c r="A46" s="5" t="n">
        <v>1200</v>
      </c>
      <c r="B46" s="5" t="n">
        <v>46.48</v>
      </c>
      <c r="C46" s="6" t="n"/>
    </row>
    <row r="47">
      <c r="A47" s="5" t="n">
        <v>1230</v>
      </c>
      <c r="B47" s="5" t="n">
        <v>45.87</v>
      </c>
      <c r="C47" s="6" t="n"/>
    </row>
    <row r="48">
      <c r="A48" s="5" t="n">
        <v>1260</v>
      </c>
      <c r="B48" s="5" t="n">
        <v>45.45</v>
      </c>
      <c r="C48" s="6" t="n"/>
    </row>
    <row r="49">
      <c r="A49" s="5" t="n">
        <v>1290</v>
      </c>
      <c r="B49" s="5" t="n">
        <v>44.95</v>
      </c>
      <c r="C49" s="6" t="n"/>
    </row>
    <row r="50">
      <c r="A50" s="5" t="n">
        <v>1320</v>
      </c>
      <c r="B50" s="5" t="n">
        <v>44.42</v>
      </c>
      <c r="C50" s="6" t="n"/>
    </row>
    <row r="51">
      <c r="A51" s="5" t="n">
        <v>1350</v>
      </c>
      <c r="B51" s="5" t="n">
        <v>44.11</v>
      </c>
      <c r="C51" s="6" t="n"/>
    </row>
    <row r="52">
      <c r="A52" s="5" t="n">
        <v>1380</v>
      </c>
      <c r="B52" s="5" t="n">
        <v>43.55</v>
      </c>
      <c r="C52" s="6" t="n"/>
    </row>
    <row r="53">
      <c r="A53" s="5" t="n">
        <v>1410</v>
      </c>
      <c r="B53" s="5" t="n">
        <v>43.2</v>
      </c>
      <c r="C53" s="6" t="n"/>
    </row>
    <row r="54">
      <c r="A54" s="5" t="n">
        <v>1440</v>
      </c>
      <c r="B54" s="5" t="n">
        <v>42.8</v>
      </c>
      <c r="C54" s="6" t="n"/>
    </row>
    <row r="55">
      <c r="A55" s="5" t="n">
        <v>1470</v>
      </c>
      <c r="B55" s="5" t="n">
        <v>42.39</v>
      </c>
      <c r="C55" s="6" t="n"/>
    </row>
    <row r="56">
      <c r="A56" s="5" t="n">
        <v>1500</v>
      </c>
      <c r="B56" s="5" t="n">
        <v>42</v>
      </c>
      <c r="C56" s="6" t="n"/>
    </row>
    <row r="57">
      <c r="A57" s="5" t="n">
        <v>1530</v>
      </c>
      <c r="B57" s="5" t="n">
        <v>41.55</v>
      </c>
      <c r="C57" s="6" t="n"/>
    </row>
    <row r="58">
      <c r="A58" s="5" t="n">
        <v>1560</v>
      </c>
      <c r="B58" s="5" t="n">
        <v>41.23</v>
      </c>
      <c r="C58" s="6" t="n"/>
    </row>
    <row r="59">
      <c r="A59" s="5" t="n">
        <v>1590</v>
      </c>
      <c r="B59" s="5" t="n">
        <v>40.88</v>
      </c>
      <c r="C59" s="6" t="n"/>
    </row>
    <row r="60">
      <c r="A60" s="5" t="n">
        <v>1620</v>
      </c>
      <c r="B60" s="5" t="n">
        <v>40.62</v>
      </c>
      <c r="C60" s="6" t="n"/>
    </row>
    <row r="61">
      <c r="A61" s="5" t="n">
        <v>1650</v>
      </c>
      <c r="B61" s="5" t="n">
        <v>40.32</v>
      </c>
      <c r="C61" s="6" t="n"/>
    </row>
    <row r="62">
      <c r="A62" s="5" t="n">
        <v>1680</v>
      </c>
      <c r="B62" s="5" t="n">
        <v>39.94</v>
      </c>
      <c r="C62" s="6" t="n"/>
    </row>
    <row r="63">
      <c r="A63" s="5" t="n">
        <v>1710</v>
      </c>
      <c r="B63" s="5" t="n">
        <v>39.59</v>
      </c>
      <c r="C63" s="6" t="n"/>
    </row>
    <row r="64">
      <c r="A64" s="5" t="n">
        <v>1740</v>
      </c>
      <c r="B64" s="5" t="n">
        <v>39.4</v>
      </c>
      <c r="C64" s="6" t="n"/>
    </row>
    <row r="65">
      <c r="A65" s="5" t="n">
        <v>1770</v>
      </c>
      <c r="B65" s="5" t="n">
        <v>39.13</v>
      </c>
      <c r="C65" s="6" t="n"/>
    </row>
    <row r="66">
      <c r="A66" s="5" t="n">
        <v>1800</v>
      </c>
      <c r="B66" s="5" t="n">
        <v>38.85</v>
      </c>
      <c r="C66" s="6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30" customWidth="1" min="5" max="5"/>
    <col width="16" customWidth="1" min="6" max="6"/>
    <col width="28" customWidth="1" min="7" max="7"/>
  </cols>
  <sheetData>
    <row r="1">
      <c r="A1" s="1" t="inlineStr">
        <is>
          <t>NJC Q2(b) – Datalogger cooling data (practice dataset)</t>
        </is>
      </c>
    </row>
    <row r="2">
      <c r="A2" s="2" t="inlineStr">
        <is>
          <t>Suggested processing (blue = formulas). Compare your own working on the first tab.</t>
        </is>
      </c>
    </row>
    <row r="5">
      <c r="A5" s="4" t="inlineStr">
        <is>
          <t>t / s</t>
        </is>
      </c>
      <c r="B5" s="4" t="inlineStr">
        <is>
          <t>θ / °C</t>
        </is>
      </c>
      <c r="C5" s="4" t="inlineStr">
        <is>
          <t>ln(θ − 30)</t>
        </is>
      </c>
      <c r="E5" s="4" t="inlineStr">
        <is>
          <t>Result</t>
        </is>
      </c>
      <c r="F5" s="4" t="inlineStr">
        <is>
          <t>Value</t>
        </is>
      </c>
      <c r="G5" s="4" t="inlineStr">
        <is>
          <t>Unit / note</t>
        </is>
      </c>
    </row>
    <row r="6">
      <c r="A6" s="5" t="n">
        <v>0</v>
      </c>
      <c r="B6" s="5" t="n">
        <v>87.97</v>
      </c>
      <c r="C6" s="7">
        <f>LN(B6-30)</f>
        <v/>
      </c>
      <c r="E6" s="5" t="inlineStr">
        <is>
          <t>gradient</t>
        </is>
      </c>
      <c r="F6" s="7">
        <f>SLOPE(C6:C66,A6:A66)</f>
        <v/>
      </c>
      <c r="G6" s="5" t="inlineStr">
        <is>
          <t>s⁻¹</t>
        </is>
      </c>
    </row>
    <row r="7">
      <c r="A7" s="5" t="n">
        <v>30</v>
      </c>
      <c r="B7" s="5" t="n">
        <v>86.14</v>
      </c>
      <c r="C7" s="7">
        <f>LN(B7-30)</f>
        <v/>
      </c>
      <c r="E7" s="5" t="inlineStr">
        <is>
          <t>k = −gradient</t>
        </is>
      </c>
      <c r="F7" s="7">
        <f>-SLOPE(C6:C66,A6:A66)</f>
        <v/>
      </c>
      <c r="G7" s="5" t="inlineStr">
        <is>
          <t>s⁻¹</t>
        </is>
      </c>
    </row>
    <row r="8">
      <c r="A8" s="5" t="n">
        <v>60</v>
      </c>
      <c r="B8" s="5" t="n">
        <v>84.52</v>
      </c>
      <c r="C8" s="7">
        <f>LN(B8-30)</f>
        <v/>
      </c>
      <c r="E8" s="5" t="inlineStr">
        <is>
          <t>n = e^intercept</t>
        </is>
      </c>
      <c r="F8" s="7">
        <f>EXP(INTERCEPT(C6:C66,A6:A66))</f>
        <v/>
      </c>
      <c r="G8" s="5" t="inlineStr">
        <is>
          <t>°C</t>
        </is>
      </c>
    </row>
    <row r="9">
      <c r="A9" s="5" t="n">
        <v>90</v>
      </c>
      <c r="B9" s="5" t="n">
        <v>82.67</v>
      </c>
      <c r="C9" s="7">
        <f>LN(B9-30)</f>
        <v/>
      </c>
    </row>
    <row r="10">
      <c r="A10" s="5" t="n">
        <v>120</v>
      </c>
      <c r="B10" s="5" t="n">
        <v>81.06</v>
      </c>
      <c r="C10" s="7">
        <f>LN(B10-30)</f>
        <v/>
      </c>
    </row>
    <row r="11">
      <c r="A11" s="5" t="n">
        <v>150</v>
      </c>
      <c r="B11" s="5" t="n">
        <v>79.48999999999999</v>
      </c>
      <c r="C11" s="7">
        <f>LN(B11-30)</f>
        <v/>
      </c>
    </row>
    <row r="12">
      <c r="A12" s="5" t="n">
        <v>180</v>
      </c>
      <c r="B12" s="5" t="n">
        <v>78.14</v>
      </c>
      <c r="C12" s="7">
        <f>LN(B12-30)</f>
        <v/>
      </c>
    </row>
    <row r="13">
      <c r="A13" s="5" t="n">
        <v>210</v>
      </c>
      <c r="B13" s="5" t="n">
        <v>76.53</v>
      </c>
      <c r="C13" s="7">
        <f>LN(B13-30)</f>
        <v/>
      </c>
    </row>
    <row r="14">
      <c r="A14" s="5" t="n">
        <v>240</v>
      </c>
      <c r="B14" s="5" t="n">
        <v>75.23999999999999</v>
      </c>
      <c r="C14" s="7">
        <f>LN(B14-30)</f>
        <v/>
      </c>
    </row>
    <row r="15">
      <c r="A15" s="5" t="n">
        <v>270</v>
      </c>
      <c r="B15" s="5" t="n">
        <v>73.67</v>
      </c>
      <c r="C15" s="7">
        <f>LN(B15-30)</f>
        <v/>
      </c>
    </row>
    <row r="16">
      <c r="A16" s="5" t="n">
        <v>300</v>
      </c>
      <c r="B16" s="5" t="n">
        <v>72.25</v>
      </c>
      <c r="C16" s="7">
        <f>LN(B16-30)</f>
        <v/>
      </c>
    </row>
    <row r="17">
      <c r="A17" s="5" t="n">
        <v>330</v>
      </c>
      <c r="B17" s="5" t="n">
        <v>71.06</v>
      </c>
      <c r="C17" s="7">
        <f>LN(B17-30)</f>
        <v/>
      </c>
    </row>
    <row r="18">
      <c r="A18" s="5" t="n">
        <v>360</v>
      </c>
      <c r="B18" s="5" t="n">
        <v>69.75</v>
      </c>
      <c r="C18" s="7">
        <f>LN(B18-30)</f>
        <v/>
      </c>
    </row>
    <row r="19">
      <c r="A19" s="5" t="n">
        <v>390</v>
      </c>
      <c r="B19" s="5" t="n">
        <v>68.41</v>
      </c>
      <c r="C19" s="7">
        <f>LN(B19-30)</f>
        <v/>
      </c>
    </row>
    <row r="20">
      <c r="A20" s="5" t="n">
        <v>420</v>
      </c>
      <c r="B20" s="5" t="n">
        <v>67.27</v>
      </c>
      <c r="C20" s="7">
        <f>LN(B20-30)</f>
        <v/>
      </c>
    </row>
    <row r="21">
      <c r="A21" s="5" t="n">
        <v>450</v>
      </c>
      <c r="B21" s="5" t="n">
        <v>66.06</v>
      </c>
      <c r="C21" s="7">
        <f>LN(B21-30)</f>
        <v/>
      </c>
    </row>
    <row r="22">
      <c r="A22" s="5" t="n">
        <v>480</v>
      </c>
      <c r="B22" s="5" t="n">
        <v>65.11</v>
      </c>
      <c r="C22" s="7">
        <f>LN(B22-30)</f>
        <v/>
      </c>
    </row>
    <row r="23">
      <c r="A23" s="5" t="n">
        <v>510</v>
      </c>
      <c r="B23" s="5" t="n">
        <v>63.99</v>
      </c>
      <c r="C23" s="7">
        <f>LN(B23-30)</f>
        <v/>
      </c>
    </row>
    <row r="24">
      <c r="A24" s="5" t="n">
        <v>540</v>
      </c>
      <c r="B24" s="5" t="n">
        <v>63.06</v>
      </c>
      <c r="C24" s="7">
        <f>LN(B24-30)</f>
        <v/>
      </c>
    </row>
    <row r="25">
      <c r="A25" s="5" t="n">
        <v>570</v>
      </c>
      <c r="B25" s="5" t="n">
        <v>61.93</v>
      </c>
      <c r="C25" s="7">
        <f>LN(B25-30)</f>
        <v/>
      </c>
    </row>
    <row r="26">
      <c r="A26" s="5" t="n">
        <v>600</v>
      </c>
      <c r="B26" s="5" t="n">
        <v>60.9</v>
      </c>
      <c r="C26" s="7">
        <f>LN(B26-30)</f>
        <v/>
      </c>
    </row>
    <row r="27">
      <c r="A27" s="5" t="n">
        <v>630</v>
      </c>
      <c r="B27" s="5" t="n">
        <v>60.04</v>
      </c>
      <c r="C27" s="7">
        <f>LN(B27-30)</f>
        <v/>
      </c>
    </row>
    <row r="28">
      <c r="A28" s="5" t="n">
        <v>660</v>
      </c>
      <c r="B28" s="5" t="n">
        <v>58.97</v>
      </c>
      <c r="C28" s="7">
        <f>LN(B28-30)</f>
        <v/>
      </c>
    </row>
    <row r="29">
      <c r="A29" s="5" t="n">
        <v>690</v>
      </c>
      <c r="B29" s="5" t="n">
        <v>58.2</v>
      </c>
      <c r="C29" s="7">
        <f>LN(B29-30)</f>
        <v/>
      </c>
    </row>
    <row r="30">
      <c r="A30" s="5" t="n">
        <v>720</v>
      </c>
      <c r="B30" s="5" t="n">
        <v>57.28</v>
      </c>
      <c r="C30" s="7">
        <f>LN(B30-30)</f>
        <v/>
      </c>
    </row>
    <row r="31">
      <c r="A31" s="5" t="n">
        <v>750</v>
      </c>
      <c r="B31" s="5" t="n">
        <v>56.33</v>
      </c>
      <c r="C31" s="7">
        <f>LN(B31-30)</f>
        <v/>
      </c>
    </row>
    <row r="32">
      <c r="A32" s="5" t="n">
        <v>780</v>
      </c>
      <c r="B32" s="5" t="n">
        <v>55.54</v>
      </c>
      <c r="C32" s="7">
        <f>LN(B32-30)</f>
        <v/>
      </c>
    </row>
    <row r="33">
      <c r="A33" s="5" t="n">
        <v>810</v>
      </c>
      <c r="B33" s="5" t="n">
        <v>54.69</v>
      </c>
      <c r="C33" s="7">
        <f>LN(B33-30)</f>
        <v/>
      </c>
    </row>
    <row r="34">
      <c r="A34" s="5" t="n">
        <v>840</v>
      </c>
      <c r="B34" s="5" t="n">
        <v>53.97</v>
      </c>
      <c r="C34" s="7">
        <f>LN(B34-30)</f>
        <v/>
      </c>
    </row>
    <row r="35">
      <c r="A35" s="5" t="n">
        <v>870</v>
      </c>
      <c r="B35" s="5" t="n">
        <v>53.29</v>
      </c>
      <c r="C35" s="7">
        <f>LN(B35-30)</f>
        <v/>
      </c>
    </row>
    <row r="36">
      <c r="A36" s="5" t="n">
        <v>900</v>
      </c>
      <c r="B36" s="5" t="n">
        <v>52.59</v>
      </c>
      <c r="C36" s="7">
        <f>LN(B36-30)</f>
        <v/>
      </c>
    </row>
    <row r="37">
      <c r="A37" s="5" t="n">
        <v>930</v>
      </c>
      <c r="B37" s="5" t="n">
        <v>51.83</v>
      </c>
      <c r="C37" s="7">
        <f>LN(B37-30)</f>
        <v/>
      </c>
    </row>
    <row r="38">
      <c r="A38" s="5" t="n">
        <v>960</v>
      </c>
      <c r="B38" s="5" t="n">
        <v>51.21</v>
      </c>
      <c r="C38" s="7">
        <f>LN(B38-30)</f>
        <v/>
      </c>
    </row>
    <row r="39">
      <c r="A39" s="5" t="n">
        <v>990</v>
      </c>
      <c r="B39" s="5" t="n">
        <v>50.61</v>
      </c>
      <c r="C39" s="7">
        <f>LN(B39-30)</f>
        <v/>
      </c>
    </row>
    <row r="40">
      <c r="A40" s="5" t="n">
        <v>1020</v>
      </c>
      <c r="B40" s="5" t="n">
        <v>49.98</v>
      </c>
      <c r="C40" s="7">
        <f>LN(B40-30)</f>
        <v/>
      </c>
    </row>
    <row r="41">
      <c r="A41" s="5" t="n">
        <v>1050</v>
      </c>
      <c r="B41" s="5" t="n">
        <v>49.36</v>
      </c>
      <c r="C41" s="7">
        <f>LN(B41-30)</f>
        <v/>
      </c>
    </row>
    <row r="42">
      <c r="A42" s="5" t="n">
        <v>1080</v>
      </c>
      <c r="B42" s="5" t="n">
        <v>48.72</v>
      </c>
      <c r="C42" s="7">
        <f>LN(B42-30)</f>
        <v/>
      </c>
    </row>
    <row r="43">
      <c r="A43" s="5" t="n">
        <v>1110</v>
      </c>
      <c r="B43" s="5" t="n">
        <v>48.04</v>
      </c>
      <c r="C43" s="7">
        <f>LN(B43-30)</f>
        <v/>
      </c>
    </row>
    <row r="44">
      <c r="A44" s="5" t="n">
        <v>1140</v>
      </c>
      <c r="B44" s="5" t="n">
        <v>47.65</v>
      </c>
      <c r="C44" s="7">
        <f>LN(B44-30)</f>
        <v/>
      </c>
    </row>
    <row r="45">
      <c r="A45" s="5" t="n">
        <v>1170</v>
      </c>
      <c r="B45" s="5" t="n">
        <v>47.04</v>
      </c>
      <c r="C45" s="7">
        <f>LN(B45-30)</f>
        <v/>
      </c>
    </row>
    <row r="46">
      <c r="A46" s="5" t="n">
        <v>1200</v>
      </c>
      <c r="B46" s="5" t="n">
        <v>46.48</v>
      </c>
      <c r="C46" s="7">
        <f>LN(B46-30)</f>
        <v/>
      </c>
    </row>
    <row r="47">
      <c r="A47" s="5" t="n">
        <v>1230</v>
      </c>
      <c r="B47" s="5" t="n">
        <v>45.87</v>
      </c>
      <c r="C47" s="7">
        <f>LN(B47-30)</f>
        <v/>
      </c>
    </row>
    <row r="48">
      <c r="A48" s="5" t="n">
        <v>1260</v>
      </c>
      <c r="B48" s="5" t="n">
        <v>45.45</v>
      </c>
      <c r="C48" s="7">
        <f>LN(B48-30)</f>
        <v/>
      </c>
    </row>
    <row r="49">
      <c r="A49" s="5" t="n">
        <v>1290</v>
      </c>
      <c r="B49" s="5" t="n">
        <v>44.95</v>
      </c>
      <c r="C49" s="7">
        <f>LN(B49-30)</f>
        <v/>
      </c>
    </row>
    <row r="50">
      <c r="A50" s="5" t="n">
        <v>1320</v>
      </c>
      <c r="B50" s="5" t="n">
        <v>44.42</v>
      </c>
      <c r="C50" s="7">
        <f>LN(B50-30)</f>
        <v/>
      </c>
    </row>
    <row r="51">
      <c r="A51" s="5" t="n">
        <v>1350</v>
      </c>
      <c r="B51" s="5" t="n">
        <v>44.11</v>
      </c>
      <c r="C51" s="7">
        <f>LN(B51-30)</f>
        <v/>
      </c>
    </row>
    <row r="52">
      <c r="A52" s="5" t="n">
        <v>1380</v>
      </c>
      <c r="B52" s="5" t="n">
        <v>43.55</v>
      </c>
      <c r="C52" s="7">
        <f>LN(B52-30)</f>
        <v/>
      </c>
    </row>
    <row r="53">
      <c r="A53" s="5" t="n">
        <v>1410</v>
      </c>
      <c r="B53" s="5" t="n">
        <v>43.2</v>
      </c>
      <c r="C53" s="7">
        <f>LN(B53-30)</f>
        <v/>
      </c>
    </row>
    <row r="54">
      <c r="A54" s="5" t="n">
        <v>1440</v>
      </c>
      <c r="B54" s="5" t="n">
        <v>42.8</v>
      </c>
      <c r="C54" s="7">
        <f>LN(B54-30)</f>
        <v/>
      </c>
    </row>
    <row r="55">
      <c r="A55" s="5" t="n">
        <v>1470</v>
      </c>
      <c r="B55" s="5" t="n">
        <v>42.39</v>
      </c>
      <c r="C55" s="7">
        <f>LN(B55-30)</f>
        <v/>
      </c>
    </row>
    <row r="56">
      <c r="A56" s="5" t="n">
        <v>1500</v>
      </c>
      <c r="B56" s="5" t="n">
        <v>42</v>
      </c>
      <c r="C56" s="7">
        <f>LN(B56-30)</f>
        <v/>
      </c>
    </row>
    <row r="57">
      <c r="A57" s="5" t="n">
        <v>1530</v>
      </c>
      <c r="B57" s="5" t="n">
        <v>41.55</v>
      </c>
      <c r="C57" s="7">
        <f>LN(B57-30)</f>
        <v/>
      </c>
    </row>
    <row r="58">
      <c r="A58" s="5" t="n">
        <v>1560</v>
      </c>
      <c r="B58" s="5" t="n">
        <v>41.23</v>
      </c>
      <c r="C58" s="7">
        <f>LN(B58-30)</f>
        <v/>
      </c>
    </row>
    <row r="59">
      <c r="A59" s="5" t="n">
        <v>1590</v>
      </c>
      <c r="B59" s="5" t="n">
        <v>40.88</v>
      </c>
      <c r="C59" s="7">
        <f>LN(B59-30)</f>
        <v/>
      </c>
    </row>
    <row r="60">
      <c r="A60" s="5" t="n">
        <v>1620</v>
      </c>
      <c r="B60" s="5" t="n">
        <v>40.62</v>
      </c>
      <c r="C60" s="7">
        <f>LN(B60-30)</f>
        <v/>
      </c>
    </row>
    <row r="61">
      <c r="A61" s="5" t="n">
        <v>1650</v>
      </c>
      <c r="B61" s="5" t="n">
        <v>40.32</v>
      </c>
      <c r="C61" s="7">
        <f>LN(B61-30)</f>
        <v/>
      </c>
    </row>
    <row r="62">
      <c r="A62" s="5" t="n">
        <v>1680</v>
      </c>
      <c r="B62" s="5" t="n">
        <v>39.94</v>
      </c>
      <c r="C62" s="7">
        <f>LN(B62-30)</f>
        <v/>
      </c>
    </row>
    <row r="63">
      <c r="A63" s="5" t="n">
        <v>1710</v>
      </c>
      <c r="B63" s="5" t="n">
        <v>39.59</v>
      </c>
      <c r="C63" s="7">
        <f>LN(B63-30)</f>
        <v/>
      </c>
    </row>
    <row r="64">
      <c r="A64" s="5" t="n">
        <v>1740</v>
      </c>
      <c r="B64" s="5" t="n">
        <v>39.4</v>
      </c>
      <c r="C64" s="7">
        <f>LN(B64-30)</f>
        <v/>
      </c>
    </row>
    <row r="65">
      <c r="A65" s="5" t="n">
        <v>1770</v>
      </c>
      <c r="B65" s="5" t="n">
        <v>39.13</v>
      </c>
      <c r="C65" s="7">
        <f>LN(B65-30)</f>
        <v/>
      </c>
    </row>
    <row r="66">
      <c r="A66" s="5" t="n">
        <v>1800</v>
      </c>
      <c r="B66" s="5" t="n">
        <v>38.85</v>
      </c>
      <c r="C66" s="7">
        <f>LN(B66-30)</f>
        <v/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2026-10-18T09:37:12Z</dcterms:created>
  <dcterms:modified xmlns:dcterms="http://purl.org/dc/terms/" xmlns:xsi="http://www.w3.org/2001/XMLSchema-instance" xsi:type="dcterms:W3CDTF">2026-10-18T09:37:12Z</dcterms:modified>
</cp:coreProperties>
</file>