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(E − V)/L against V</a:t>
            </a:r>
          </a:p>
        </rich>
      </tx>
    </title>
    <plotArea>
      <scatterChart>
        <ser>
          <idx val="0"/>
          <order val="0"/>
          <tx>
            <strRef>
              <f>'Suggested solution'!C5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solution'!$B$6:$B$11</f>
            </numRef>
          </xVal>
          <yVal>
            <numRef>
              <f>'Suggested solution'!$C$6:$C$11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 / V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(E − V)/L / V m⁻¹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" t="inlineStr">
        <is>
          <t>ACJC Q2 – Wire and resistors (sample data)</t>
        </is>
      </c>
    </row>
    <row r="2">
      <c r="A2" s="2" t="inlineStr">
        <is>
          <t>E = 3.08 V. Plot (E − V)/L against V.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L / cm</t>
        </is>
      </c>
      <c r="B5" s="4" t="inlineStr">
        <is>
          <t>V / V</t>
        </is>
      </c>
      <c r="C5" s="4" t="inlineStr">
        <is>
          <t>(E − V)/L / V m⁻¹</t>
        </is>
      </c>
    </row>
    <row r="6">
      <c r="A6" s="5" t="n">
        <v>30</v>
      </c>
      <c r="B6" s="5" t="n">
        <v>2.22</v>
      </c>
      <c r="C6" s="6" t="n"/>
    </row>
    <row r="7">
      <c r="A7" s="5" t="n">
        <v>40</v>
      </c>
      <c r="B7" s="5" t="n">
        <v>2.11</v>
      </c>
      <c r="C7" s="6" t="n"/>
    </row>
    <row r="8">
      <c r="A8" s="5" t="n">
        <v>50</v>
      </c>
      <c r="B8" s="5" t="n">
        <v>2.04</v>
      </c>
      <c r="C8" s="6" t="n"/>
    </row>
    <row r="9">
      <c r="A9" s="5" t="n">
        <v>60</v>
      </c>
      <c r="B9" s="5" t="n">
        <v>1.97</v>
      </c>
      <c r="C9" s="6" t="n"/>
    </row>
    <row r="10">
      <c r="A10" s="5" t="n">
        <v>70</v>
      </c>
      <c r="B10" s="5" t="n">
        <v>1.93</v>
      </c>
      <c r="C10" s="6" t="n"/>
    </row>
    <row r="11">
      <c r="A11" s="5" t="n">
        <v>80</v>
      </c>
      <c r="B11" s="5" t="n">
        <v>1.89</v>
      </c>
      <c r="C1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30" customWidth="1" min="5" max="5"/>
    <col width="16" customWidth="1" min="6" max="6"/>
    <col width="28" customWidth="1" min="7" max="7"/>
  </cols>
  <sheetData>
    <row r="1">
      <c r="A1" s="1" t="inlineStr">
        <is>
          <t>ACJC Q2 – Wire and resistors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L / cm</t>
        </is>
      </c>
      <c r="B5" s="4" t="inlineStr">
        <is>
          <t>V / V</t>
        </is>
      </c>
      <c r="C5" s="4" t="inlineStr">
        <is>
          <t>(E − V)/L / V m⁻¹</t>
        </is>
      </c>
      <c r="E5" s="4" t="inlineStr">
        <is>
          <t>Result</t>
        </is>
      </c>
      <c r="F5" s="4" t="inlineStr">
        <is>
          <t>Value</t>
        </is>
      </c>
      <c r="G5" s="4" t="inlineStr">
        <is>
          <t>Unit / note</t>
        </is>
      </c>
    </row>
    <row r="6">
      <c r="A6" s="5" t="n">
        <v>30</v>
      </c>
      <c r="B6" s="5" t="n">
        <v>2.22</v>
      </c>
      <c r="C6" s="7">
        <f>(3.08-B6)/(A6/100)</f>
        <v/>
      </c>
      <c r="E6" s="5" t="inlineStr">
        <is>
          <t>P = gradient</t>
        </is>
      </c>
      <c r="F6" s="8">
        <f>SLOPE(C6:C11,B6:B11)</f>
        <v/>
      </c>
      <c r="G6" s="5" t="inlineStr">
        <is>
          <t>m⁻¹</t>
        </is>
      </c>
    </row>
    <row r="7">
      <c r="A7" s="5" t="n">
        <v>40</v>
      </c>
      <c r="B7" s="5" t="n">
        <v>2.11</v>
      </c>
      <c r="C7" s="7">
        <f>(3.08-B7)/(A7/100)</f>
        <v/>
      </c>
      <c r="E7" s="5" t="inlineStr">
        <is>
          <t>Q = −intercept</t>
        </is>
      </c>
      <c r="F7" s="8">
        <f>-INTERCEPT(C6:C11,B6:B11)</f>
        <v/>
      </c>
      <c r="G7" s="5" t="inlineStr">
        <is>
          <t>V m⁻¹</t>
        </is>
      </c>
    </row>
    <row r="8">
      <c r="A8" s="5" t="n">
        <v>50</v>
      </c>
      <c r="B8" s="5" t="n">
        <v>2.04</v>
      </c>
      <c r="C8" s="7">
        <f>(3.08-B8)/(A8/100)</f>
        <v/>
      </c>
      <c r="E8" s="5" t="inlineStr">
        <is>
          <t>Q/P</t>
        </is>
      </c>
      <c r="F8" s="8">
        <f>-INTERCEPT(C6:C11,B6:B11)/SLOPE(C6:C11,B6:B11)</f>
        <v/>
      </c>
      <c r="G8" s="5" t="inlineStr">
        <is>
          <t>V</t>
        </is>
      </c>
    </row>
    <row r="9">
      <c r="A9" s="5" t="n">
        <v>60</v>
      </c>
      <c r="B9" s="5" t="n">
        <v>1.97</v>
      </c>
      <c r="C9" s="7">
        <f>(3.08-B9)/(A9/100)</f>
        <v/>
      </c>
      <c r="E9" s="5" t="inlineStr">
        <is>
          <t>R = 2k/P (k = 20 Ω m⁻¹)</t>
        </is>
      </c>
      <c r="F9" s="8">
        <f>40/SLOPE(C6:C11,B6:B11)</f>
        <v/>
      </c>
      <c r="G9" s="5" t="inlineStr">
        <is>
          <t>Ω</t>
        </is>
      </c>
    </row>
    <row r="10">
      <c r="A10" s="5" t="n">
        <v>70</v>
      </c>
      <c r="B10" s="5" t="n">
        <v>1.93</v>
      </c>
      <c r="C10" s="7">
        <f>(3.08-B10)/(A10/100)</f>
        <v/>
      </c>
    </row>
    <row r="11">
      <c r="A11" s="5" t="n">
        <v>80</v>
      </c>
      <c r="B11" s="5" t="n">
        <v>1.89</v>
      </c>
      <c r="C11" s="7">
        <f>(3.08-B11)/(A11/100)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2026-10-18T12:32:54Z</dcterms:created>
  <dcterms:modified xmlns:dcterms="http://purl.org/dc/terms/" xmlns:xsi="http://www.w3.org/2001/XMLSchema-instance" xsi:type="dcterms:W3CDTF">2026-10-18T12:32:54Z</dcterms:modified>
</cp:coreProperties>
</file>