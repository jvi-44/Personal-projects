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Suggested solu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D2A44"/>
      <sz val="14"/>
    </font>
    <font>
      <i val="1"/>
      <color rgb="0055617A"/>
    </font>
    <font>
      <b val="1"/>
      <color rgb="00FFFFFF"/>
    </font>
    <font>
      <b val="1"/>
      <color rgb="009A5B00"/>
    </font>
    <font>
      <color rgb="001550C8"/>
    </font>
  </fonts>
  <fills count="4">
    <fill>
      <patternFill/>
    </fill>
    <fill>
      <patternFill patternType="gray125"/>
    </fill>
    <fill>
      <patternFill patternType="solid">
        <fgColor rgb="002A4D8F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left style="thin">
        <color rgb="00B8C4DA"/>
      </left>
      <right style="thin">
        <color rgb="00B8C4DA"/>
      </right>
      <top style="thin">
        <color rgb="00B8C4DA"/>
      </top>
      <bottom style="thin">
        <color rgb="00B8C4D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 against s</a:t>
            </a:r>
          </a:p>
        </rich>
      </tx>
    </title>
    <plotArea>
      <scatterChart>
        <ser>
          <idx val="0"/>
          <order val="0"/>
          <tx>
            <strRef>
              <f>'Suggested solution'!B5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x"/>
            <size val="7"/>
            <spPr>
              <a:ln xmlns:a="http://schemas.openxmlformats.org/drawingml/2006/main">
                <a:prstDash val="solid"/>
              </a:ln>
            </spPr>
          </marker>
          <trendline>
            <trendlineType val="linear"/>
            <dispRSqr val="1"/>
            <dispEq val="1"/>
          </trendline>
          <xVal>
            <numRef>
              <f>'Suggested solution'!$A$6:$A$54</f>
            </numRef>
          </xVal>
          <yVal>
            <numRef>
              <f>'Suggested solution'!$B$6:$B$54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 / m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 / N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9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</cols>
  <sheetData>
    <row r="1">
      <c r="A1" s="1" t="inlineStr">
        <is>
          <t>DHS Q1(h) – Drag force against distance (practice dataset)</t>
        </is>
      </c>
    </row>
    <row r="2">
      <c r="A2" s="2" t="inlineStr">
        <is>
          <t>W = 0.020 N, d = 11.0 cm. Find the area under the F–s graph from 0 to 1.000 m.</t>
        </is>
      </c>
    </row>
    <row r="4">
      <c r="C4" s="3" t="inlineStr">
        <is>
          <t>Your processing → fill the yellow cells, then plot your own graph.</t>
        </is>
      </c>
    </row>
    <row r="5">
      <c r="A5" s="4" t="inlineStr">
        <is>
          <t>s / m</t>
        </is>
      </c>
      <c r="B5" s="4" t="inlineStr">
        <is>
          <t>F / N</t>
        </is>
      </c>
      <c r="C5" s="4" t="inlineStr">
        <is>
          <t>strip area / J</t>
        </is>
      </c>
    </row>
    <row r="6">
      <c r="A6" s="5" t="n">
        <v>0</v>
      </c>
      <c r="B6" s="5" t="n">
        <v>0</v>
      </c>
      <c r="C6" s="6" t="n"/>
    </row>
    <row r="7">
      <c r="A7" s="5" t="n">
        <v>0.025</v>
      </c>
      <c r="B7" s="5" t="n">
        <v>0.00106</v>
      </c>
      <c r="C7" s="6" t="n"/>
    </row>
    <row r="8">
      <c r="A8" s="5" t="n">
        <v>0.05</v>
      </c>
      <c r="B8" s="5" t="n">
        <v>0.00206</v>
      </c>
      <c r="C8" s="6" t="n"/>
    </row>
    <row r="9">
      <c r="A9" s="5" t="n">
        <v>0.075</v>
      </c>
      <c r="B9" s="5" t="n">
        <v>0.003</v>
      </c>
      <c r="C9" s="6" t="n"/>
    </row>
    <row r="10">
      <c r="A10" s="5" t="n">
        <v>0.1</v>
      </c>
      <c r="B10" s="5" t="n">
        <v>0.00389</v>
      </c>
      <c r="C10" s="6" t="n"/>
    </row>
    <row r="11">
      <c r="A11" s="5" t="n">
        <v>0.125</v>
      </c>
      <c r="B11" s="5" t="n">
        <v>0.00477</v>
      </c>
      <c r="C11" s="6" t="n"/>
    </row>
    <row r="12">
      <c r="A12" s="5" t="n">
        <v>0.15</v>
      </c>
      <c r="B12" s="5" t="n">
        <v>0.00554</v>
      </c>
      <c r="C12" s="6" t="n"/>
    </row>
    <row r="13">
      <c r="A13" s="5" t="n">
        <v>0.175</v>
      </c>
      <c r="B13" s="5" t="n">
        <v>0.00637</v>
      </c>
      <c r="C13" s="6" t="n"/>
    </row>
    <row r="14">
      <c r="A14" s="5" t="n">
        <v>0.2</v>
      </c>
      <c r="B14" s="5" t="n">
        <v>0.00708</v>
      </c>
      <c r="C14" s="6" t="n"/>
    </row>
    <row r="15">
      <c r="A15" s="5" t="n">
        <v>0.225</v>
      </c>
      <c r="B15" s="5" t="n">
        <v>0.00778</v>
      </c>
      <c r="C15" s="6" t="n"/>
    </row>
    <row r="16">
      <c r="A16" s="5" t="n">
        <v>0.25</v>
      </c>
      <c r="B16" s="5" t="n">
        <v>0.00839</v>
      </c>
      <c r="C16" s="6" t="n"/>
    </row>
    <row r="17">
      <c r="A17" s="5" t="n">
        <v>0.275</v>
      </c>
      <c r="B17" s="5" t="n">
        <v>0.008999999999999999</v>
      </c>
      <c r="C17" s="6" t="n"/>
    </row>
    <row r="18">
      <c r="A18" s="5" t="n">
        <v>0.3</v>
      </c>
      <c r="B18" s="5" t="n">
        <v>0.00971</v>
      </c>
      <c r="C18" s="6" t="n"/>
    </row>
    <row r="19">
      <c r="A19" s="5" t="n">
        <v>0.325</v>
      </c>
      <c r="B19" s="5" t="n">
        <v>0.01019</v>
      </c>
      <c r="C19" s="6" t="n"/>
    </row>
    <row r="20">
      <c r="A20" s="5" t="n">
        <v>0.35</v>
      </c>
      <c r="B20" s="5" t="n">
        <v>0.01071</v>
      </c>
      <c r="C20" s="6" t="n"/>
    </row>
    <row r="21">
      <c r="A21" s="5" t="n">
        <v>0.375</v>
      </c>
      <c r="B21" s="5" t="n">
        <v>0.01126</v>
      </c>
      <c r="C21" s="6" t="n"/>
    </row>
    <row r="22">
      <c r="A22" s="5" t="n">
        <v>0.4</v>
      </c>
      <c r="B22" s="5" t="n">
        <v>0.01166</v>
      </c>
      <c r="C22" s="6" t="n"/>
    </row>
    <row r="23">
      <c r="A23" s="5" t="n">
        <v>0.425</v>
      </c>
      <c r="B23" s="5" t="n">
        <v>0.01193</v>
      </c>
      <c r="C23" s="6" t="n"/>
    </row>
    <row r="24">
      <c r="A24" s="5" t="n">
        <v>0.45</v>
      </c>
      <c r="B24" s="5" t="n">
        <v>0.01242</v>
      </c>
      <c r="C24" s="6" t="n"/>
    </row>
    <row r="25">
      <c r="A25" s="5" t="n">
        <v>0.475</v>
      </c>
      <c r="B25" s="5" t="n">
        <v>0.01279</v>
      </c>
      <c r="C25" s="6" t="n"/>
    </row>
    <row r="26">
      <c r="A26" s="5" t="n">
        <v>0.5</v>
      </c>
      <c r="B26" s="5" t="n">
        <v>0.01334</v>
      </c>
      <c r="C26" s="6" t="n"/>
    </row>
    <row r="27">
      <c r="A27" s="5" t="n">
        <v>0.525</v>
      </c>
      <c r="B27" s="5" t="n">
        <v>0.01365</v>
      </c>
      <c r="C27" s="6" t="n"/>
    </row>
    <row r="28">
      <c r="A28" s="5" t="n">
        <v>0.55</v>
      </c>
      <c r="B28" s="5" t="n">
        <v>0.014</v>
      </c>
      <c r="C28" s="6" t="n"/>
    </row>
    <row r="29">
      <c r="A29" s="5" t="n">
        <v>0.575</v>
      </c>
      <c r="B29" s="5" t="n">
        <v>0.01411</v>
      </c>
      <c r="C29" s="6" t="n"/>
    </row>
    <row r="30">
      <c r="A30" s="5" t="n">
        <v>0.6</v>
      </c>
      <c r="B30" s="5" t="n">
        <v>0.0146</v>
      </c>
      <c r="C30" s="6" t="n"/>
    </row>
    <row r="31">
      <c r="A31" s="5" t="n">
        <v>0.625</v>
      </c>
      <c r="B31" s="5" t="n">
        <v>0.01489</v>
      </c>
      <c r="C31" s="6" t="n"/>
    </row>
    <row r="32">
      <c r="A32" s="5" t="n">
        <v>0.65</v>
      </c>
      <c r="B32" s="5" t="n">
        <v>0.0151</v>
      </c>
      <c r="C32" s="6" t="n"/>
    </row>
    <row r="33">
      <c r="A33" s="5" t="n">
        <v>0.675</v>
      </c>
      <c r="B33" s="5" t="n">
        <v>0.01549</v>
      </c>
      <c r="C33" s="6" t="n"/>
    </row>
    <row r="34">
      <c r="A34" s="5" t="n">
        <v>0.7</v>
      </c>
      <c r="B34" s="5" t="n">
        <v>0.01573</v>
      </c>
      <c r="C34" s="6" t="n"/>
    </row>
    <row r="35">
      <c r="A35" s="5" t="n">
        <v>0.725</v>
      </c>
      <c r="B35" s="5" t="n">
        <v>0.01578</v>
      </c>
      <c r="C35" s="6" t="n"/>
    </row>
    <row r="36">
      <c r="A36" s="5" t="n">
        <v>0.75</v>
      </c>
      <c r="B36" s="5" t="n">
        <v>0.01611</v>
      </c>
      <c r="C36" s="6" t="n"/>
    </row>
    <row r="37">
      <c r="A37" s="5" t="n">
        <v>0.775</v>
      </c>
      <c r="B37" s="5" t="n">
        <v>0.01626</v>
      </c>
      <c r="C37" s="6" t="n"/>
    </row>
    <row r="38">
      <c r="A38" s="5" t="n">
        <v>0.8</v>
      </c>
      <c r="B38" s="5" t="n">
        <v>0.01638</v>
      </c>
      <c r="C38" s="6" t="n"/>
    </row>
    <row r="39">
      <c r="A39" s="5" t="n">
        <v>0.825</v>
      </c>
      <c r="B39" s="5" t="n">
        <v>0.01687</v>
      </c>
      <c r="C39" s="6" t="n"/>
    </row>
    <row r="40">
      <c r="A40" s="5" t="n">
        <v>0.85</v>
      </c>
      <c r="B40" s="5" t="n">
        <v>0.01703</v>
      </c>
      <c r="C40" s="6" t="n"/>
    </row>
    <row r="41">
      <c r="A41" s="5" t="n">
        <v>0.875</v>
      </c>
      <c r="B41" s="5" t="n">
        <v>0.01714</v>
      </c>
      <c r="C41" s="6" t="n"/>
    </row>
    <row r="42">
      <c r="A42" s="5" t="n">
        <v>0.9</v>
      </c>
      <c r="B42" s="5" t="n">
        <v>0.0173</v>
      </c>
      <c r="C42" s="6" t="n"/>
    </row>
    <row r="43">
      <c r="A43" s="5" t="n">
        <v>0.925</v>
      </c>
      <c r="B43" s="5" t="n">
        <v>0.01733</v>
      </c>
      <c r="C43" s="6" t="n"/>
    </row>
    <row r="44">
      <c r="A44" s="5" t="n">
        <v>0.95</v>
      </c>
      <c r="B44" s="5" t="n">
        <v>0.0175</v>
      </c>
      <c r="C44" s="6" t="n"/>
    </row>
    <row r="45">
      <c r="A45" s="5" t="n">
        <v>0.975</v>
      </c>
      <c r="B45" s="5" t="n">
        <v>0.01778</v>
      </c>
      <c r="C45" s="6" t="n"/>
    </row>
    <row r="46">
      <c r="A46" s="5" t="n">
        <v>1</v>
      </c>
      <c r="B46" s="5" t="n">
        <v>0.01776</v>
      </c>
      <c r="C46" s="6" t="n"/>
    </row>
    <row r="47">
      <c r="A47" s="5" t="n">
        <v>1.025</v>
      </c>
      <c r="B47" s="5" t="n">
        <v>0.01783</v>
      </c>
      <c r="C47" s="6" t="n"/>
    </row>
    <row r="48">
      <c r="A48" s="5" t="n">
        <v>1.05</v>
      </c>
      <c r="B48" s="5" t="n">
        <v>0.0178</v>
      </c>
      <c r="C48" s="6" t="n"/>
    </row>
    <row r="49">
      <c r="A49" s="5" t="n">
        <v>1.075</v>
      </c>
      <c r="B49" s="5" t="n">
        <v>0.01817</v>
      </c>
      <c r="C49" s="6" t="n"/>
    </row>
    <row r="50">
      <c r="A50" s="5" t="n">
        <v>1.1</v>
      </c>
      <c r="B50" s="5" t="n">
        <v>0.01809</v>
      </c>
      <c r="C50" s="6" t="n"/>
    </row>
    <row r="51">
      <c r="A51" s="5" t="n">
        <v>1.125</v>
      </c>
      <c r="B51" s="5" t="n">
        <v>0.01835</v>
      </c>
      <c r="C51" s="6" t="n"/>
    </row>
    <row r="52">
      <c r="A52" s="5" t="n">
        <v>1.15</v>
      </c>
      <c r="B52" s="5" t="n">
        <v>0.01837</v>
      </c>
      <c r="C52" s="6" t="n"/>
    </row>
    <row r="53">
      <c r="A53" s="5" t="n">
        <v>1.175</v>
      </c>
      <c r="B53" s="5" t="n">
        <v>0.01845</v>
      </c>
      <c r="C53" s="6" t="n"/>
    </row>
    <row r="54">
      <c r="A54" s="5" t="n">
        <v>1.2</v>
      </c>
      <c r="B54" s="5" t="n">
        <v>0.01844</v>
      </c>
      <c r="C54" s="6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30" customWidth="1" min="5" max="5"/>
    <col width="16" customWidth="1" min="6" max="6"/>
    <col width="28" customWidth="1" min="7" max="7"/>
  </cols>
  <sheetData>
    <row r="1">
      <c r="A1" s="1" t="inlineStr">
        <is>
          <t>DHS Q1(h) – Drag force against distance (practice dataset)</t>
        </is>
      </c>
    </row>
    <row r="2">
      <c r="A2" s="2" t="inlineStr">
        <is>
          <t>Suggested processing (blue = formulas). Compare your own working on the first tab.</t>
        </is>
      </c>
    </row>
    <row r="5">
      <c r="A5" s="4" t="inlineStr">
        <is>
          <t>s / m</t>
        </is>
      </c>
      <c r="B5" s="4" t="inlineStr">
        <is>
          <t>F / N</t>
        </is>
      </c>
      <c r="C5" s="4" t="inlineStr">
        <is>
          <t>strip area / J</t>
        </is>
      </c>
      <c r="E5" s="4" t="inlineStr">
        <is>
          <t>Result</t>
        </is>
      </c>
      <c r="F5" s="4" t="inlineStr">
        <is>
          <t>Value</t>
        </is>
      </c>
      <c r="G5" s="4" t="inlineStr">
        <is>
          <t>Unit / note</t>
        </is>
      </c>
    </row>
    <row r="6">
      <c r="A6" s="5" t="n">
        <v>0</v>
      </c>
      <c r="B6" s="5" t="n">
        <v>0</v>
      </c>
      <c r="C6" s="7">
        <f>IF(A7="","",(B6+B7)/2*(A7-A6))</f>
        <v/>
      </c>
      <c r="E6" s="5" t="inlineStr">
        <is>
          <t>energy dissipated (0 to 1.000 m)</t>
        </is>
      </c>
      <c r="F6" s="7">
        <f>SUMIFS(C6:C54,A6:A54,"&lt;0.9999")</f>
        <v/>
      </c>
      <c r="G6" s="5" t="inlineStr">
        <is>
          <t>J</t>
        </is>
      </c>
    </row>
    <row r="7">
      <c r="A7" s="5" t="n">
        <v>0.025</v>
      </c>
      <c r="B7" s="5" t="n">
        <v>0.00106</v>
      </c>
      <c r="C7" s="7">
        <f>IF(A8="","",(B7+B8)/2*(A8-A7))</f>
        <v/>
      </c>
    </row>
    <row r="8">
      <c r="A8" s="5" t="n">
        <v>0.05</v>
      </c>
      <c r="B8" s="5" t="n">
        <v>0.00206</v>
      </c>
      <c r="C8" s="7">
        <f>IF(A9="","",(B8+B9)/2*(A9-A8))</f>
        <v/>
      </c>
    </row>
    <row r="9">
      <c r="A9" s="5" t="n">
        <v>0.075</v>
      </c>
      <c r="B9" s="5" t="n">
        <v>0.003</v>
      </c>
      <c r="C9" s="7">
        <f>IF(A10="","",(B9+B10)/2*(A10-A9))</f>
        <v/>
      </c>
    </row>
    <row r="10">
      <c r="A10" s="5" t="n">
        <v>0.1</v>
      </c>
      <c r="B10" s="5" t="n">
        <v>0.00389</v>
      </c>
      <c r="C10" s="7">
        <f>IF(A11="","",(B10+B11)/2*(A11-A10))</f>
        <v/>
      </c>
    </row>
    <row r="11">
      <c r="A11" s="5" t="n">
        <v>0.125</v>
      </c>
      <c r="B11" s="5" t="n">
        <v>0.00477</v>
      </c>
      <c r="C11" s="7">
        <f>IF(A12="","",(B11+B12)/2*(A12-A11))</f>
        <v/>
      </c>
    </row>
    <row r="12">
      <c r="A12" s="5" t="n">
        <v>0.15</v>
      </c>
      <c r="B12" s="5" t="n">
        <v>0.00554</v>
      </c>
      <c r="C12" s="7">
        <f>IF(A13="","",(B12+B13)/2*(A13-A12))</f>
        <v/>
      </c>
    </row>
    <row r="13">
      <c r="A13" s="5" t="n">
        <v>0.175</v>
      </c>
      <c r="B13" s="5" t="n">
        <v>0.00637</v>
      </c>
      <c r="C13" s="7">
        <f>IF(A14="","",(B13+B14)/2*(A14-A13))</f>
        <v/>
      </c>
    </row>
    <row r="14">
      <c r="A14" s="5" t="n">
        <v>0.2</v>
      </c>
      <c r="B14" s="5" t="n">
        <v>0.00708</v>
      </c>
      <c r="C14" s="7">
        <f>IF(A15="","",(B14+B15)/2*(A15-A14))</f>
        <v/>
      </c>
    </row>
    <row r="15">
      <c r="A15" s="5" t="n">
        <v>0.225</v>
      </c>
      <c r="B15" s="5" t="n">
        <v>0.00778</v>
      </c>
      <c r="C15" s="7">
        <f>IF(A16="","",(B15+B16)/2*(A16-A15))</f>
        <v/>
      </c>
    </row>
    <row r="16">
      <c r="A16" s="5" t="n">
        <v>0.25</v>
      </c>
      <c r="B16" s="5" t="n">
        <v>0.00839</v>
      </c>
      <c r="C16" s="7">
        <f>IF(A17="","",(B16+B17)/2*(A17-A16))</f>
        <v/>
      </c>
    </row>
    <row r="17">
      <c r="A17" s="5" t="n">
        <v>0.275</v>
      </c>
      <c r="B17" s="5" t="n">
        <v>0.008999999999999999</v>
      </c>
      <c r="C17" s="7">
        <f>IF(A18="","",(B17+B18)/2*(A18-A17))</f>
        <v/>
      </c>
    </row>
    <row r="18">
      <c r="A18" s="5" t="n">
        <v>0.3</v>
      </c>
      <c r="B18" s="5" t="n">
        <v>0.00971</v>
      </c>
      <c r="C18" s="7">
        <f>IF(A19="","",(B18+B19)/2*(A19-A18))</f>
        <v/>
      </c>
    </row>
    <row r="19">
      <c r="A19" s="5" t="n">
        <v>0.325</v>
      </c>
      <c r="B19" s="5" t="n">
        <v>0.01019</v>
      </c>
      <c r="C19" s="7">
        <f>IF(A20="","",(B19+B20)/2*(A20-A19))</f>
        <v/>
      </c>
    </row>
    <row r="20">
      <c r="A20" s="5" t="n">
        <v>0.35</v>
      </c>
      <c r="B20" s="5" t="n">
        <v>0.01071</v>
      </c>
      <c r="C20" s="7">
        <f>IF(A21="","",(B20+B21)/2*(A21-A20))</f>
        <v/>
      </c>
    </row>
    <row r="21">
      <c r="A21" s="5" t="n">
        <v>0.375</v>
      </c>
      <c r="B21" s="5" t="n">
        <v>0.01126</v>
      </c>
      <c r="C21" s="7">
        <f>IF(A22="","",(B21+B22)/2*(A22-A21))</f>
        <v/>
      </c>
    </row>
    <row r="22">
      <c r="A22" s="5" t="n">
        <v>0.4</v>
      </c>
      <c r="B22" s="5" t="n">
        <v>0.01166</v>
      </c>
      <c r="C22" s="7">
        <f>IF(A23="","",(B22+B23)/2*(A23-A22))</f>
        <v/>
      </c>
    </row>
    <row r="23">
      <c r="A23" s="5" t="n">
        <v>0.425</v>
      </c>
      <c r="B23" s="5" t="n">
        <v>0.01193</v>
      </c>
      <c r="C23" s="7">
        <f>IF(A24="","",(B23+B24)/2*(A24-A23))</f>
        <v/>
      </c>
    </row>
    <row r="24">
      <c r="A24" s="5" t="n">
        <v>0.45</v>
      </c>
      <c r="B24" s="5" t="n">
        <v>0.01242</v>
      </c>
      <c r="C24" s="7">
        <f>IF(A25="","",(B24+B25)/2*(A25-A24))</f>
        <v/>
      </c>
    </row>
    <row r="25">
      <c r="A25" s="5" t="n">
        <v>0.475</v>
      </c>
      <c r="B25" s="5" t="n">
        <v>0.01279</v>
      </c>
      <c r="C25" s="7">
        <f>IF(A26="","",(B25+B26)/2*(A26-A25))</f>
        <v/>
      </c>
    </row>
    <row r="26">
      <c r="A26" s="5" t="n">
        <v>0.5</v>
      </c>
      <c r="B26" s="5" t="n">
        <v>0.01334</v>
      </c>
      <c r="C26" s="7">
        <f>IF(A27="","",(B26+B27)/2*(A27-A26))</f>
        <v/>
      </c>
    </row>
    <row r="27">
      <c r="A27" s="5" t="n">
        <v>0.525</v>
      </c>
      <c r="B27" s="5" t="n">
        <v>0.01365</v>
      </c>
      <c r="C27" s="7">
        <f>IF(A28="","",(B27+B28)/2*(A28-A27))</f>
        <v/>
      </c>
    </row>
    <row r="28">
      <c r="A28" s="5" t="n">
        <v>0.55</v>
      </c>
      <c r="B28" s="5" t="n">
        <v>0.014</v>
      </c>
      <c r="C28" s="7">
        <f>IF(A29="","",(B28+B29)/2*(A29-A28))</f>
        <v/>
      </c>
    </row>
    <row r="29">
      <c r="A29" s="5" t="n">
        <v>0.575</v>
      </c>
      <c r="B29" s="5" t="n">
        <v>0.01411</v>
      </c>
      <c r="C29" s="7">
        <f>IF(A30="","",(B29+B30)/2*(A30-A29))</f>
        <v/>
      </c>
    </row>
    <row r="30">
      <c r="A30" s="5" t="n">
        <v>0.6</v>
      </c>
      <c r="B30" s="5" t="n">
        <v>0.0146</v>
      </c>
      <c r="C30" s="7">
        <f>IF(A31="","",(B30+B31)/2*(A31-A30))</f>
        <v/>
      </c>
    </row>
    <row r="31">
      <c r="A31" s="5" t="n">
        <v>0.625</v>
      </c>
      <c r="B31" s="5" t="n">
        <v>0.01489</v>
      </c>
      <c r="C31" s="7">
        <f>IF(A32="","",(B31+B32)/2*(A32-A31))</f>
        <v/>
      </c>
    </row>
    <row r="32">
      <c r="A32" s="5" t="n">
        <v>0.65</v>
      </c>
      <c r="B32" s="5" t="n">
        <v>0.0151</v>
      </c>
      <c r="C32" s="7">
        <f>IF(A33="","",(B32+B33)/2*(A33-A32))</f>
        <v/>
      </c>
    </row>
    <row r="33">
      <c r="A33" s="5" t="n">
        <v>0.675</v>
      </c>
      <c r="B33" s="5" t="n">
        <v>0.01549</v>
      </c>
      <c r="C33" s="7">
        <f>IF(A34="","",(B33+B34)/2*(A34-A33))</f>
        <v/>
      </c>
    </row>
    <row r="34">
      <c r="A34" s="5" t="n">
        <v>0.7</v>
      </c>
      <c r="B34" s="5" t="n">
        <v>0.01573</v>
      </c>
      <c r="C34" s="7">
        <f>IF(A35="","",(B34+B35)/2*(A35-A34))</f>
        <v/>
      </c>
    </row>
    <row r="35">
      <c r="A35" s="5" t="n">
        <v>0.725</v>
      </c>
      <c r="B35" s="5" t="n">
        <v>0.01578</v>
      </c>
      <c r="C35" s="7">
        <f>IF(A36="","",(B35+B36)/2*(A36-A35))</f>
        <v/>
      </c>
    </row>
    <row r="36">
      <c r="A36" s="5" t="n">
        <v>0.75</v>
      </c>
      <c r="B36" s="5" t="n">
        <v>0.01611</v>
      </c>
      <c r="C36" s="7">
        <f>IF(A37="","",(B36+B37)/2*(A37-A36))</f>
        <v/>
      </c>
    </row>
    <row r="37">
      <c r="A37" s="5" t="n">
        <v>0.775</v>
      </c>
      <c r="B37" s="5" t="n">
        <v>0.01626</v>
      </c>
      <c r="C37" s="7">
        <f>IF(A38="","",(B37+B38)/2*(A38-A37))</f>
        <v/>
      </c>
    </row>
    <row r="38">
      <c r="A38" s="5" t="n">
        <v>0.8</v>
      </c>
      <c r="B38" s="5" t="n">
        <v>0.01638</v>
      </c>
      <c r="C38" s="7">
        <f>IF(A39="","",(B38+B39)/2*(A39-A38))</f>
        <v/>
      </c>
    </row>
    <row r="39">
      <c r="A39" s="5" t="n">
        <v>0.825</v>
      </c>
      <c r="B39" s="5" t="n">
        <v>0.01687</v>
      </c>
      <c r="C39" s="7">
        <f>IF(A40="","",(B39+B40)/2*(A40-A39))</f>
        <v/>
      </c>
    </row>
    <row r="40">
      <c r="A40" s="5" t="n">
        <v>0.85</v>
      </c>
      <c r="B40" s="5" t="n">
        <v>0.01703</v>
      </c>
      <c r="C40" s="7">
        <f>IF(A41="","",(B40+B41)/2*(A41-A40))</f>
        <v/>
      </c>
    </row>
    <row r="41">
      <c r="A41" s="5" t="n">
        <v>0.875</v>
      </c>
      <c r="B41" s="5" t="n">
        <v>0.01714</v>
      </c>
      <c r="C41" s="7">
        <f>IF(A42="","",(B41+B42)/2*(A42-A41))</f>
        <v/>
      </c>
    </row>
    <row r="42">
      <c r="A42" s="5" t="n">
        <v>0.9</v>
      </c>
      <c r="B42" s="5" t="n">
        <v>0.0173</v>
      </c>
      <c r="C42" s="7">
        <f>IF(A43="","",(B42+B43)/2*(A43-A42))</f>
        <v/>
      </c>
    </row>
    <row r="43">
      <c r="A43" s="5" t="n">
        <v>0.925</v>
      </c>
      <c r="B43" s="5" t="n">
        <v>0.01733</v>
      </c>
      <c r="C43" s="7">
        <f>IF(A44="","",(B43+B44)/2*(A44-A43))</f>
        <v/>
      </c>
    </row>
    <row r="44">
      <c r="A44" s="5" t="n">
        <v>0.95</v>
      </c>
      <c r="B44" s="5" t="n">
        <v>0.0175</v>
      </c>
      <c r="C44" s="7">
        <f>IF(A45="","",(B44+B45)/2*(A45-A44))</f>
        <v/>
      </c>
    </row>
    <row r="45">
      <c r="A45" s="5" t="n">
        <v>0.975</v>
      </c>
      <c r="B45" s="5" t="n">
        <v>0.01778</v>
      </c>
      <c r="C45" s="7">
        <f>IF(A46="","",(B45+B46)/2*(A46-A45))</f>
        <v/>
      </c>
    </row>
    <row r="46">
      <c r="A46" s="5" t="n">
        <v>1</v>
      </c>
      <c r="B46" s="5" t="n">
        <v>0.01776</v>
      </c>
      <c r="C46" s="7">
        <f>IF(A47="","",(B46+B47)/2*(A47-A46))</f>
        <v/>
      </c>
    </row>
    <row r="47">
      <c r="A47" s="5" t="n">
        <v>1.025</v>
      </c>
      <c r="B47" s="5" t="n">
        <v>0.01783</v>
      </c>
      <c r="C47" s="7">
        <f>IF(A48="","",(B47+B48)/2*(A48-A47))</f>
        <v/>
      </c>
    </row>
    <row r="48">
      <c r="A48" s="5" t="n">
        <v>1.05</v>
      </c>
      <c r="B48" s="5" t="n">
        <v>0.0178</v>
      </c>
      <c r="C48" s="7">
        <f>IF(A49="","",(B48+B49)/2*(A49-A48))</f>
        <v/>
      </c>
    </row>
    <row r="49">
      <c r="A49" s="5" t="n">
        <v>1.075</v>
      </c>
      <c r="B49" s="5" t="n">
        <v>0.01817</v>
      </c>
      <c r="C49" s="7">
        <f>IF(A50="","",(B49+B50)/2*(A50-A49))</f>
        <v/>
      </c>
    </row>
    <row r="50">
      <c r="A50" s="5" t="n">
        <v>1.1</v>
      </c>
      <c r="B50" s="5" t="n">
        <v>0.01809</v>
      </c>
      <c r="C50" s="7">
        <f>IF(A51="","",(B50+B51)/2*(A51-A50))</f>
        <v/>
      </c>
    </row>
    <row r="51">
      <c r="A51" s="5" t="n">
        <v>1.125</v>
      </c>
      <c r="B51" s="5" t="n">
        <v>0.01835</v>
      </c>
      <c r="C51" s="7">
        <f>IF(A52="","",(B51+B52)/2*(A52-A51))</f>
        <v/>
      </c>
    </row>
    <row r="52">
      <c r="A52" s="5" t="n">
        <v>1.15</v>
      </c>
      <c r="B52" s="5" t="n">
        <v>0.01837</v>
      </c>
      <c r="C52" s="7">
        <f>IF(A53="","",(B52+B53)/2*(A53-A52))</f>
        <v/>
      </c>
    </row>
    <row r="53">
      <c r="A53" s="5" t="n">
        <v>1.175</v>
      </c>
      <c r="B53" s="5" t="n">
        <v>0.01845</v>
      </c>
      <c r="C53" s="7">
        <f>IF(A54="","",(B53+B54)/2*(A54-A53))</f>
        <v/>
      </c>
    </row>
    <row r="54">
      <c r="A54" s="5" t="n">
        <v>1.2</v>
      </c>
      <c r="B54" s="5" t="n">
        <v>0.01844</v>
      </c>
      <c r="C54" s="7">
        <f>IF(A55="","",(B54+B55)/2*(A55-A54))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2026-10-18T12:39:26Z</dcterms:created>
  <dcterms:modified xmlns:dcterms="http://purl.org/dc/terms/" xmlns:xsi="http://www.w3.org/2001/XMLSchema-instance" xsi:type="dcterms:W3CDTF">2026-10-18T12:39:26Z</dcterms:modified>
</cp:coreProperties>
</file>