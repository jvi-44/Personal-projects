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ln h against t</a:t>
            </a:r>
          </a:p>
        </rich>
      </tx>
    </title>
    <plotArea>
      <scatterChart>
        <ser>
          <idx val="0"/>
          <order val="0"/>
          <tx>
            <strRef>
              <f>'Suggested solution'!C5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solution'!$A$6:$A$81</f>
            </numRef>
          </xVal>
          <yVal>
            <numRef>
              <f>'Suggested solution'!$C$6:$C$81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/ 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ln(h / cm)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ACJC Q3(f) – Height of sand against time (practice dataset)</t>
        </is>
      </c>
    </row>
    <row r="2">
      <c r="A2" s="2" t="inlineStr">
        <is>
          <t>Find successive half-lives and plot ln h against t.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t / s</t>
        </is>
      </c>
      <c r="B5" s="4" t="inlineStr">
        <is>
          <t>h / cm</t>
        </is>
      </c>
      <c r="C5" s="4" t="inlineStr">
        <is>
          <t>ln(h / cm)</t>
        </is>
      </c>
    </row>
    <row r="6">
      <c r="A6" s="5" t="n">
        <v>0</v>
      </c>
      <c r="B6" s="6" t="n">
        <v>19.99</v>
      </c>
      <c r="C6" s="7" t="n"/>
    </row>
    <row r="7">
      <c r="A7" s="5" t="n">
        <v>2</v>
      </c>
      <c r="B7" s="6" t="n">
        <v>19.13</v>
      </c>
      <c r="C7" s="7" t="n"/>
    </row>
    <row r="8">
      <c r="A8" s="5" t="n">
        <v>4</v>
      </c>
      <c r="B8" s="6" t="n">
        <v>18.36</v>
      </c>
      <c r="C8" s="7" t="n"/>
    </row>
    <row r="9">
      <c r="A9" s="5" t="n">
        <v>6</v>
      </c>
      <c r="B9" s="6" t="n">
        <v>17.36</v>
      </c>
      <c r="C9" s="7" t="n"/>
    </row>
    <row r="10">
      <c r="A10" s="5" t="n">
        <v>8</v>
      </c>
      <c r="B10" s="6" t="n">
        <v>16.64</v>
      </c>
      <c r="C10" s="7" t="n"/>
    </row>
    <row r="11">
      <c r="A11" s="5" t="n">
        <v>10</v>
      </c>
      <c r="B11" s="6" t="n">
        <v>15.89</v>
      </c>
      <c r="C11" s="7" t="n"/>
    </row>
    <row r="12">
      <c r="A12" s="5" t="n">
        <v>12</v>
      </c>
      <c r="B12" s="6" t="n">
        <v>15.12</v>
      </c>
      <c r="C12" s="7" t="n"/>
    </row>
    <row r="13">
      <c r="A13" s="5" t="n">
        <v>14</v>
      </c>
      <c r="B13" s="6" t="n">
        <v>14.46</v>
      </c>
      <c r="C13" s="7" t="n"/>
    </row>
    <row r="14">
      <c r="A14" s="5" t="n">
        <v>16</v>
      </c>
      <c r="B14" s="6" t="n">
        <v>13.92</v>
      </c>
      <c r="C14" s="7" t="n"/>
    </row>
    <row r="15">
      <c r="A15" s="5" t="n">
        <v>18</v>
      </c>
      <c r="B15" s="6" t="n">
        <v>13.25</v>
      </c>
      <c r="C15" s="7" t="n"/>
    </row>
    <row r="16">
      <c r="A16" s="5" t="n">
        <v>20</v>
      </c>
      <c r="B16" s="6" t="n">
        <v>12.52</v>
      </c>
      <c r="C16" s="7" t="n"/>
    </row>
    <row r="17">
      <c r="A17" s="5" t="n">
        <v>22</v>
      </c>
      <c r="B17" s="6" t="n">
        <v>12.07</v>
      </c>
      <c r="C17" s="7" t="n"/>
    </row>
    <row r="18">
      <c r="A18" s="5" t="n">
        <v>24</v>
      </c>
      <c r="B18" s="6" t="n">
        <v>11.5</v>
      </c>
      <c r="C18" s="7" t="n"/>
    </row>
    <row r="19">
      <c r="A19" s="5" t="n">
        <v>26</v>
      </c>
      <c r="B19" s="6" t="n">
        <v>10.97</v>
      </c>
      <c r="C19" s="7" t="n"/>
    </row>
    <row r="20">
      <c r="A20" s="5" t="n">
        <v>28</v>
      </c>
      <c r="B20" s="6" t="n">
        <v>10.43</v>
      </c>
      <c r="C20" s="7" t="n"/>
    </row>
    <row r="21">
      <c r="A21" s="5" t="n">
        <v>30</v>
      </c>
      <c r="B21" s="6" t="n">
        <v>9.949999999999999</v>
      </c>
      <c r="C21" s="7" t="n"/>
    </row>
    <row r="22">
      <c r="A22" s="5" t="n">
        <v>32</v>
      </c>
      <c r="B22" s="6" t="n">
        <v>9.56</v>
      </c>
      <c r="C22" s="7" t="n"/>
    </row>
    <row r="23">
      <c r="A23" s="5" t="n">
        <v>34</v>
      </c>
      <c r="B23" s="6" t="n">
        <v>9.1</v>
      </c>
      <c r="C23" s="7" t="n"/>
    </row>
    <row r="24">
      <c r="A24" s="5" t="n">
        <v>36</v>
      </c>
      <c r="B24" s="6" t="n">
        <v>8.699999999999999</v>
      </c>
      <c r="C24" s="7" t="n"/>
    </row>
    <row r="25">
      <c r="A25" s="5" t="n">
        <v>38</v>
      </c>
      <c r="B25" s="6" t="n">
        <v>8.32</v>
      </c>
      <c r="C25" s="7" t="n"/>
    </row>
    <row r="26">
      <c r="A26" s="5" t="n">
        <v>40</v>
      </c>
      <c r="B26" s="6" t="n">
        <v>7.96</v>
      </c>
      <c r="C26" s="7" t="n"/>
    </row>
    <row r="27">
      <c r="A27" s="5" t="n">
        <v>42</v>
      </c>
      <c r="B27" s="6" t="n">
        <v>7.6</v>
      </c>
      <c r="C27" s="7" t="n"/>
    </row>
    <row r="28">
      <c r="A28" s="5" t="n">
        <v>44</v>
      </c>
      <c r="B28" s="6" t="n">
        <v>7.25</v>
      </c>
      <c r="C28" s="7" t="n"/>
    </row>
    <row r="29">
      <c r="A29" s="5" t="n">
        <v>46</v>
      </c>
      <c r="B29" s="6" t="n">
        <v>6.89</v>
      </c>
      <c r="C29" s="7" t="n"/>
    </row>
    <row r="30">
      <c r="A30" s="5" t="n">
        <v>48</v>
      </c>
      <c r="B30" s="6" t="n">
        <v>6.55</v>
      </c>
      <c r="C30" s="7" t="n"/>
    </row>
    <row r="31">
      <c r="A31" s="5" t="n">
        <v>50</v>
      </c>
      <c r="B31" s="6" t="n">
        <v>6.31</v>
      </c>
      <c r="C31" s="7" t="n"/>
    </row>
    <row r="32">
      <c r="A32" s="5" t="n">
        <v>52</v>
      </c>
      <c r="B32" s="6" t="n">
        <v>6.04</v>
      </c>
      <c r="C32" s="7" t="n"/>
    </row>
    <row r="33">
      <c r="A33" s="5" t="n">
        <v>54</v>
      </c>
      <c r="B33" s="6" t="n">
        <v>5.77</v>
      </c>
      <c r="C33" s="7" t="n"/>
    </row>
    <row r="34">
      <c r="A34" s="5" t="n">
        <v>56</v>
      </c>
      <c r="B34" s="6" t="n">
        <v>5.48</v>
      </c>
      <c r="C34" s="7" t="n"/>
    </row>
    <row r="35">
      <c r="A35" s="5" t="n">
        <v>58</v>
      </c>
      <c r="B35" s="6" t="n">
        <v>5.23</v>
      </c>
      <c r="C35" s="7" t="n"/>
    </row>
    <row r="36">
      <c r="A36" s="5" t="n">
        <v>60</v>
      </c>
      <c r="B36" s="6" t="n">
        <v>5.01</v>
      </c>
      <c r="C36" s="7" t="n"/>
    </row>
    <row r="37">
      <c r="A37" s="5" t="n">
        <v>62</v>
      </c>
      <c r="B37" s="6" t="n">
        <v>4.79</v>
      </c>
      <c r="C37" s="7" t="n"/>
    </row>
    <row r="38">
      <c r="A38" s="5" t="n">
        <v>64</v>
      </c>
      <c r="B38" s="6" t="n">
        <v>4.53</v>
      </c>
      <c r="C38" s="7" t="n"/>
    </row>
    <row r="39">
      <c r="A39" s="5" t="n">
        <v>66</v>
      </c>
      <c r="B39" s="6" t="n">
        <v>4.34</v>
      </c>
      <c r="C39" s="7" t="n"/>
    </row>
    <row r="40">
      <c r="A40" s="5" t="n">
        <v>68</v>
      </c>
      <c r="B40" s="6" t="n">
        <v>4.15</v>
      </c>
      <c r="C40" s="7" t="n"/>
    </row>
    <row r="41">
      <c r="A41" s="5" t="n">
        <v>70</v>
      </c>
      <c r="B41" s="6" t="n">
        <v>3.97</v>
      </c>
      <c r="C41" s="7" t="n"/>
    </row>
    <row r="42">
      <c r="A42" s="5" t="n">
        <v>72</v>
      </c>
      <c r="B42" s="6" t="n">
        <v>3.78</v>
      </c>
      <c r="C42" s="7" t="n"/>
    </row>
    <row r="43">
      <c r="A43" s="5" t="n">
        <v>74</v>
      </c>
      <c r="B43" s="6" t="n">
        <v>3.64</v>
      </c>
      <c r="C43" s="7" t="n"/>
    </row>
    <row r="44">
      <c r="A44" s="5" t="n">
        <v>76</v>
      </c>
      <c r="B44" s="6" t="n">
        <v>3.46</v>
      </c>
      <c r="C44" s="7" t="n"/>
    </row>
    <row r="45">
      <c r="A45" s="5" t="n">
        <v>78</v>
      </c>
      <c r="B45" s="6" t="n">
        <v>3.29</v>
      </c>
      <c r="C45" s="7" t="n"/>
    </row>
    <row r="46">
      <c r="A46" s="5" t="n">
        <v>80</v>
      </c>
      <c r="B46" s="6" t="n">
        <v>3.17</v>
      </c>
      <c r="C46" s="7" t="n"/>
    </row>
    <row r="47">
      <c r="A47" s="5" t="n">
        <v>82</v>
      </c>
      <c r="B47" s="6" t="n">
        <v>3.01</v>
      </c>
      <c r="C47" s="7" t="n"/>
    </row>
    <row r="48">
      <c r="A48" s="5" t="n">
        <v>84</v>
      </c>
      <c r="B48" s="6" t="n">
        <v>2.89</v>
      </c>
      <c r="C48" s="7" t="n"/>
    </row>
    <row r="49">
      <c r="A49" s="5" t="n">
        <v>86</v>
      </c>
      <c r="B49" s="6" t="n">
        <v>2.74</v>
      </c>
      <c r="C49" s="7" t="n"/>
    </row>
    <row r="50">
      <c r="A50" s="5" t="n">
        <v>88</v>
      </c>
      <c r="B50" s="6" t="n">
        <v>2.61</v>
      </c>
      <c r="C50" s="7" t="n"/>
    </row>
    <row r="51">
      <c r="A51" s="5" t="n">
        <v>90</v>
      </c>
      <c r="B51" s="6" t="n">
        <v>2.5</v>
      </c>
      <c r="C51" s="7" t="n"/>
    </row>
    <row r="52">
      <c r="A52" s="5" t="n">
        <v>92</v>
      </c>
      <c r="B52" s="6" t="n">
        <v>2.4</v>
      </c>
      <c r="C52" s="7" t="n"/>
    </row>
    <row r="53">
      <c r="A53" s="5" t="n">
        <v>94</v>
      </c>
      <c r="B53" s="6" t="n">
        <v>2.27</v>
      </c>
      <c r="C53" s="7" t="n"/>
    </row>
    <row r="54">
      <c r="A54" s="5" t="n">
        <v>96</v>
      </c>
      <c r="B54" s="6" t="n">
        <v>2.19</v>
      </c>
      <c r="C54" s="7" t="n"/>
    </row>
    <row r="55">
      <c r="A55" s="5" t="n">
        <v>98</v>
      </c>
      <c r="B55" s="6" t="n">
        <v>2.08</v>
      </c>
      <c r="C55" s="7" t="n"/>
    </row>
    <row r="56">
      <c r="A56" s="5" t="n">
        <v>100</v>
      </c>
      <c r="B56" s="6" t="n">
        <v>1.99</v>
      </c>
      <c r="C56" s="7" t="n"/>
    </row>
    <row r="57">
      <c r="A57" s="5" t="n">
        <v>102</v>
      </c>
      <c r="B57" s="6" t="n">
        <v>1.9</v>
      </c>
      <c r="C57" s="7" t="n"/>
    </row>
    <row r="58">
      <c r="A58" s="5" t="n">
        <v>104</v>
      </c>
      <c r="B58" s="6" t="n">
        <v>1.8</v>
      </c>
      <c r="C58" s="7" t="n"/>
    </row>
    <row r="59">
      <c r="A59" s="5" t="n">
        <v>106</v>
      </c>
      <c r="B59" s="6" t="n">
        <v>1.73</v>
      </c>
      <c r="C59" s="7" t="n"/>
    </row>
    <row r="60">
      <c r="A60" s="5" t="n">
        <v>108</v>
      </c>
      <c r="B60" s="6" t="n">
        <v>1.64</v>
      </c>
      <c r="C60" s="7" t="n"/>
    </row>
    <row r="61">
      <c r="A61" s="5" t="n">
        <v>110</v>
      </c>
      <c r="B61" s="6" t="n">
        <v>1.57</v>
      </c>
      <c r="C61" s="7" t="n"/>
    </row>
    <row r="62">
      <c r="A62" s="5" t="n">
        <v>112</v>
      </c>
      <c r="B62" s="6" t="n">
        <v>1.51</v>
      </c>
      <c r="C62" s="7" t="n"/>
    </row>
    <row r="63">
      <c r="A63" s="5" t="n">
        <v>114</v>
      </c>
      <c r="B63" s="6" t="n">
        <v>1.43</v>
      </c>
      <c r="C63" s="7" t="n"/>
    </row>
    <row r="64">
      <c r="A64" s="5" t="n">
        <v>116</v>
      </c>
      <c r="B64" s="6" t="n">
        <v>1.37</v>
      </c>
      <c r="C64" s="7" t="n"/>
    </row>
    <row r="65">
      <c r="A65" s="5" t="n">
        <v>118</v>
      </c>
      <c r="B65" s="6" t="n">
        <v>1.31</v>
      </c>
      <c r="C65" s="7" t="n"/>
    </row>
    <row r="66">
      <c r="A66" s="5" t="n">
        <v>120</v>
      </c>
      <c r="B66" s="6" t="n">
        <v>1.24</v>
      </c>
      <c r="C66" s="7" t="n"/>
    </row>
    <row r="67">
      <c r="A67" s="5" t="n">
        <v>122</v>
      </c>
      <c r="B67" s="6" t="n">
        <v>1.19</v>
      </c>
      <c r="C67" s="7" t="n"/>
    </row>
    <row r="68">
      <c r="A68" s="5" t="n">
        <v>124</v>
      </c>
      <c r="B68" s="6" t="n">
        <v>1.14</v>
      </c>
      <c r="C68" s="7" t="n"/>
    </row>
    <row r="69">
      <c r="A69" s="5" t="n">
        <v>126</v>
      </c>
      <c r="B69" s="6" t="n">
        <v>1.09</v>
      </c>
      <c r="C69" s="7" t="n"/>
    </row>
    <row r="70">
      <c r="A70" s="5" t="n">
        <v>128</v>
      </c>
      <c r="B70" s="6" t="n">
        <v>1.04</v>
      </c>
      <c r="C70" s="7" t="n"/>
    </row>
    <row r="71">
      <c r="A71" s="5" t="n">
        <v>130</v>
      </c>
      <c r="B71" s="6" t="n">
        <v>1</v>
      </c>
      <c r="C71" s="7" t="n"/>
    </row>
    <row r="72">
      <c r="A72" s="5" t="n">
        <v>132</v>
      </c>
      <c r="B72" s="6" t="n">
        <v>0.9399999999999999</v>
      </c>
      <c r="C72" s="7" t="n"/>
    </row>
    <row r="73">
      <c r="A73" s="5" t="n">
        <v>134</v>
      </c>
      <c r="B73" s="6" t="n">
        <v>0.91</v>
      </c>
      <c r="C73" s="7" t="n"/>
    </row>
    <row r="74">
      <c r="A74" s="5" t="n">
        <v>136</v>
      </c>
      <c r="B74" s="6" t="n">
        <v>0.86</v>
      </c>
      <c r="C74" s="7" t="n"/>
    </row>
    <row r="75">
      <c r="A75" s="5" t="n">
        <v>138</v>
      </c>
      <c r="B75" s="6" t="n">
        <v>0.83</v>
      </c>
      <c r="C75" s="7" t="n"/>
    </row>
    <row r="76">
      <c r="A76" s="5" t="n">
        <v>140</v>
      </c>
      <c r="B76" s="6" t="n">
        <v>0.78</v>
      </c>
      <c r="C76" s="7" t="n"/>
    </row>
    <row r="77">
      <c r="A77" s="5" t="n">
        <v>142</v>
      </c>
      <c r="B77" s="6" t="n">
        <v>0.75</v>
      </c>
      <c r="C77" s="7" t="n"/>
    </row>
    <row r="78">
      <c r="A78" s="5" t="n">
        <v>144</v>
      </c>
      <c r="B78" s="6" t="n">
        <v>0.72</v>
      </c>
      <c r="C78" s="7" t="n"/>
    </row>
    <row r="79">
      <c r="A79" s="5" t="n">
        <v>146</v>
      </c>
      <c r="B79" s="6" t="n">
        <v>0.6899999999999999</v>
      </c>
      <c r="C79" s="7" t="n"/>
    </row>
    <row r="80">
      <c r="A80" s="5" t="n">
        <v>148</v>
      </c>
      <c r="B80" s="6" t="n">
        <v>0.66</v>
      </c>
      <c r="C80" s="7" t="n"/>
    </row>
    <row r="81">
      <c r="A81" s="5" t="n">
        <v>150</v>
      </c>
      <c r="B81" s="6" t="n">
        <v>0.63</v>
      </c>
      <c r="C81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0" customWidth="1" min="5" max="5"/>
    <col width="16" customWidth="1" min="6" max="6"/>
    <col width="28" customWidth="1" min="7" max="7"/>
  </cols>
  <sheetData>
    <row r="1">
      <c r="A1" s="1" t="inlineStr">
        <is>
          <t>ACJC Q3(f) – Height of sand against time (practice dataset)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t / s</t>
        </is>
      </c>
      <c r="B5" s="4" t="inlineStr">
        <is>
          <t>h / cm</t>
        </is>
      </c>
      <c r="C5" s="4" t="inlineStr">
        <is>
          <t>ln(h / cm)</t>
        </is>
      </c>
      <c r="E5" s="4" t="inlineStr">
        <is>
          <t>Result</t>
        </is>
      </c>
      <c r="F5" s="4" t="inlineStr">
        <is>
          <t>Value</t>
        </is>
      </c>
      <c r="G5" s="4" t="inlineStr">
        <is>
          <t>Unit / note</t>
        </is>
      </c>
    </row>
    <row r="6">
      <c r="A6" s="5" t="n">
        <v>0</v>
      </c>
      <c r="B6" s="6" t="n">
        <v>19.99</v>
      </c>
      <c r="C6" s="8">
        <f>LN(B6)</f>
        <v/>
      </c>
      <c r="E6" s="5" t="inlineStr">
        <is>
          <t>k = −gradient</t>
        </is>
      </c>
      <c r="F6" s="8">
        <f>-SLOPE(C6:C81,A6:A81)</f>
        <v/>
      </c>
      <c r="G6" s="5" t="inlineStr">
        <is>
          <t>s⁻¹</t>
        </is>
      </c>
    </row>
    <row r="7">
      <c r="A7" s="5" t="n">
        <v>2</v>
      </c>
      <c r="B7" s="6" t="n">
        <v>19.13</v>
      </c>
      <c r="C7" s="8">
        <f>LN(B7)</f>
        <v/>
      </c>
      <c r="E7" s="5" t="inlineStr">
        <is>
          <t>ln2 / k</t>
        </is>
      </c>
      <c r="F7" s="8">
        <f>LN(2)/-SLOPE(C6:C81,A6:A81)</f>
        <v/>
      </c>
      <c r="G7" s="5" t="inlineStr">
        <is>
          <t>s</t>
        </is>
      </c>
    </row>
    <row r="8">
      <c r="A8" s="5" t="n">
        <v>4</v>
      </c>
      <c r="B8" s="6" t="n">
        <v>18.36</v>
      </c>
      <c r="C8" s="8">
        <f>LN(B8)</f>
        <v/>
      </c>
    </row>
    <row r="9">
      <c r="A9" s="5" t="n">
        <v>6</v>
      </c>
      <c r="B9" s="6" t="n">
        <v>17.36</v>
      </c>
      <c r="C9" s="8">
        <f>LN(B9)</f>
        <v/>
      </c>
    </row>
    <row r="10">
      <c r="A10" s="5" t="n">
        <v>8</v>
      </c>
      <c r="B10" s="6" t="n">
        <v>16.64</v>
      </c>
      <c r="C10" s="8">
        <f>LN(B10)</f>
        <v/>
      </c>
    </row>
    <row r="11">
      <c r="A11" s="5" t="n">
        <v>10</v>
      </c>
      <c r="B11" s="6" t="n">
        <v>15.89</v>
      </c>
      <c r="C11" s="8">
        <f>LN(B11)</f>
        <v/>
      </c>
    </row>
    <row r="12">
      <c r="A12" s="5" t="n">
        <v>12</v>
      </c>
      <c r="B12" s="6" t="n">
        <v>15.12</v>
      </c>
      <c r="C12" s="8">
        <f>LN(B12)</f>
        <v/>
      </c>
    </row>
    <row r="13">
      <c r="A13" s="5" t="n">
        <v>14</v>
      </c>
      <c r="B13" s="6" t="n">
        <v>14.46</v>
      </c>
      <c r="C13" s="8">
        <f>LN(B13)</f>
        <v/>
      </c>
    </row>
    <row r="14">
      <c r="A14" s="5" t="n">
        <v>16</v>
      </c>
      <c r="B14" s="6" t="n">
        <v>13.92</v>
      </c>
      <c r="C14" s="8">
        <f>LN(B14)</f>
        <v/>
      </c>
    </row>
    <row r="15">
      <c r="A15" s="5" t="n">
        <v>18</v>
      </c>
      <c r="B15" s="6" t="n">
        <v>13.25</v>
      </c>
      <c r="C15" s="8">
        <f>LN(B15)</f>
        <v/>
      </c>
    </row>
    <row r="16">
      <c r="A16" s="5" t="n">
        <v>20</v>
      </c>
      <c r="B16" s="6" t="n">
        <v>12.52</v>
      </c>
      <c r="C16" s="8">
        <f>LN(B16)</f>
        <v/>
      </c>
    </row>
    <row r="17">
      <c r="A17" s="5" t="n">
        <v>22</v>
      </c>
      <c r="B17" s="6" t="n">
        <v>12.07</v>
      </c>
      <c r="C17" s="8">
        <f>LN(B17)</f>
        <v/>
      </c>
    </row>
    <row r="18">
      <c r="A18" s="5" t="n">
        <v>24</v>
      </c>
      <c r="B18" s="6" t="n">
        <v>11.5</v>
      </c>
      <c r="C18" s="8">
        <f>LN(B18)</f>
        <v/>
      </c>
    </row>
    <row r="19">
      <c r="A19" s="5" t="n">
        <v>26</v>
      </c>
      <c r="B19" s="6" t="n">
        <v>10.97</v>
      </c>
      <c r="C19" s="8">
        <f>LN(B19)</f>
        <v/>
      </c>
    </row>
    <row r="20">
      <c r="A20" s="5" t="n">
        <v>28</v>
      </c>
      <c r="B20" s="6" t="n">
        <v>10.43</v>
      </c>
      <c r="C20" s="8">
        <f>LN(B20)</f>
        <v/>
      </c>
    </row>
    <row r="21">
      <c r="A21" s="5" t="n">
        <v>30</v>
      </c>
      <c r="B21" s="6" t="n">
        <v>9.949999999999999</v>
      </c>
      <c r="C21" s="8">
        <f>LN(B21)</f>
        <v/>
      </c>
    </row>
    <row r="22">
      <c r="A22" s="5" t="n">
        <v>32</v>
      </c>
      <c r="B22" s="6" t="n">
        <v>9.56</v>
      </c>
      <c r="C22" s="8">
        <f>LN(B22)</f>
        <v/>
      </c>
    </row>
    <row r="23">
      <c r="A23" s="5" t="n">
        <v>34</v>
      </c>
      <c r="B23" s="6" t="n">
        <v>9.1</v>
      </c>
      <c r="C23" s="8">
        <f>LN(B23)</f>
        <v/>
      </c>
    </row>
    <row r="24">
      <c r="A24" s="5" t="n">
        <v>36</v>
      </c>
      <c r="B24" s="6" t="n">
        <v>8.699999999999999</v>
      </c>
      <c r="C24" s="8">
        <f>LN(B24)</f>
        <v/>
      </c>
    </row>
    <row r="25">
      <c r="A25" s="5" t="n">
        <v>38</v>
      </c>
      <c r="B25" s="6" t="n">
        <v>8.32</v>
      </c>
      <c r="C25" s="8">
        <f>LN(B25)</f>
        <v/>
      </c>
    </row>
    <row r="26">
      <c r="A26" s="5" t="n">
        <v>40</v>
      </c>
      <c r="B26" s="6" t="n">
        <v>7.96</v>
      </c>
      <c r="C26" s="8">
        <f>LN(B26)</f>
        <v/>
      </c>
    </row>
    <row r="27">
      <c r="A27" s="5" t="n">
        <v>42</v>
      </c>
      <c r="B27" s="6" t="n">
        <v>7.6</v>
      </c>
      <c r="C27" s="8">
        <f>LN(B27)</f>
        <v/>
      </c>
    </row>
    <row r="28">
      <c r="A28" s="5" t="n">
        <v>44</v>
      </c>
      <c r="B28" s="6" t="n">
        <v>7.25</v>
      </c>
      <c r="C28" s="8">
        <f>LN(B28)</f>
        <v/>
      </c>
    </row>
    <row r="29">
      <c r="A29" s="5" t="n">
        <v>46</v>
      </c>
      <c r="B29" s="6" t="n">
        <v>6.89</v>
      </c>
      <c r="C29" s="8">
        <f>LN(B29)</f>
        <v/>
      </c>
    </row>
    <row r="30">
      <c r="A30" s="5" t="n">
        <v>48</v>
      </c>
      <c r="B30" s="6" t="n">
        <v>6.55</v>
      </c>
      <c r="C30" s="8">
        <f>LN(B30)</f>
        <v/>
      </c>
    </row>
    <row r="31">
      <c r="A31" s="5" t="n">
        <v>50</v>
      </c>
      <c r="B31" s="6" t="n">
        <v>6.31</v>
      </c>
      <c r="C31" s="8">
        <f>LN(B31)</f>
        <v/>
      </c>
    </row>
    <row r="32">
      <c r="A32" s="5" t="n">
        <v>52</v>
      </c>
      <c r="B32" s="6" t="n">
        <v>6.04</v>
      </c>
      <c r="C32" s="8">
        <f>LN(B32)</f>
        <v/>
      </c>
    </row>
    <row r="33">
      <c r="A33" s="5" t="n">
        <v>54</v>
      </c>
      <c r="B33" s="6" t="n">
        <v>5.77</v>
      </c>
      <c r="C33" s="8">
        <f>LN(B33)</f>
        <v/>
      </c>
    </row>
    <row r="34">
      <c r="A34" s="5" t="n">
        <v>56</v>
      </c>
      <c r="B34" s="6" t="n">
        <v>5.48</v>
      </c>
      <c r="C34" s="8">
        <f>LN(B34)</f>
        <v/>
      </c>
    </row>
    <row r="35">
      <c r="A35" s="5" t="n">
        <v>58</v>
      </c>
      <c r="B35" s="6" t="n">
        <v>5.23</v>
      </c>
      <c r="C35" s="8">
        <f>LN(B35)</f>
        <v/>
      </c>
    </row>
    <row r="36">
      <c r="A36" s="5" t="n">
        <v>60</v>
      </c>
      <c r="B36" s="6" t="n">
        <v>5.01</v>
      </c>
      <c r="C36" s="8">
        <f>LN(B36)</f>
        <v/>
      </c>
    </row>
    <row r="37">
      <c r="A37" s="5" t="n">
        <v>62</v>
      </c>
      <c r="B37" s="6" t="n">
        <v>4.79</v>
      </c>
      <c r="C37" s="8">
        <f>LN(B37)</f>
        <v/>
      </c>
    </row>
    <row r="38">
      <c r="A38" s="5" t="n">
        <v>64</v>
      </c>
      <c r="B38" s="6" t="n">
        <v>4.53</v>
      </c>
      <c r="C38" s="8">
        <f>LN(B38)</f>
        <v/>
      </c>
    </row>
    <row r="39">
      <c r="A39" s="5" t="n">
        <v>66</v>
      </c>
      <c r="B39" s="6" t="n">
        <v>4.34</v>
      </c>
      <c r="C39" s="8">
        <f>LN(B39)</f>
        <v/>
      </c>
    </row>
    <row r="40">
      <c r="A40" s="5" t="n">
        <v>68</v>
      </c>
      <c r="B40" s="6" t="n">
        <v>4.15</v>
      </c>
      <c r="C40" s="8">
        <f>LN(B40)</f>
        <v/>
      </c>
    </row>
    <row r="41">
      <c r="A41" s="5" t="n">
        <v>70</v>
      </c>
      <c r="B41" s="6" t="n">
        <v>3.97</v>
      </c>
      <c r="C41" s="8">
        <f>LN(B41)</f>
        <v/>
      </c>
    </row>
    <row r="42">
      <c r="A42" s="5" t="n">
        <v>72</v>
      </c>
      <c r="B42" s="6" t="n">
        <v>3.78</v>
      </c>
      <c r="C42" s="8">
        <f>LN(B42)</f>
        <v/>
      </c>
    </row>
    <row r="43">
      <c r="A43" s="5" t="n">
        <v>74</v>
      </c>
      <c r="B43" s="6" t="n">
        <v>3.64</v>
      </c>
      <c r="C43" s="8">
        <f>LN(B43)</f>
        <v/>
      </c>
    </row>
    <row r="44">
      <c r="A44" s="5" t="n">
        <v>76</v>
      </c>
      <c r="B44" s="6" t="n">
        <v>3.46</v>
      </c>
      <c r="C44" s="8">
        <f>LN(B44)</f>
        <v/>
      </c>
    </row>
    <row r="45">
      <c r="A45" s="5" t="n">
        <v>78</v>
      </c>
      <c r="B45" s="6" t="n">
        <v>3.29</v>
      </c>
      <c r="C45" s="8">
        <f>LN(B45)</f>
        <v/>
      </c>
    </row>
    <row r="46">
      <c r="A46" s="5" t="n">
        <v>80</v>
      </c>
      <c r="B46" s="6" t="n">
        <v>3.17</v>
      </c>
      <c r="C46" s="8">
        <f>LN(B46)</f>
        <v/>
      </c>
    </row>
    <row r="47">
      <c r="A47" s="5" t="n">
        <v>82</v>
      </c>
      <c r="B47" s="6" t="n">
        <v>3.01</v>
      </c>
      <c r="C47" s="8">
        <f>LN(B47)</f>
        <v/>
      </c>
    </row>
    <row r="48">
      <c r="A48" s="5" t="n">
        <v>84</v>
      </c>
      <c r="B48" s="6" t="n">
        <v>2.89</v>
      </c>
      <c r="C48" s="8">
        <f>LN(B48)</f>
        <v/>
      </c>
    </row>
    <row r="49">
      <c r="A49" s="5" t="n">
        <v>86</v>
      </c>
      <c r="B49" s="6" t="n">
        <v>2.74</v>
      </c>
      <c r="C49" s="8">
        <f>LN(B49)</f>
        <v/>
      </c>
    </row>
    <row r="50">
      <c r="A50" s="5" t="n">
        <v>88</v>
      </c>
      <c r="B50" s="6" t="n">
        <v>2.61</v>
      </c>
      <c r="C50" s="8">
        <f>LN(B50)</f>
        <v/>
      </c>
    </row>
    <row r="51">
      <c r="A51" s="5" t="n">
        <v>90</v>
      </c>
      <c r="B51" s="6" t="n">
        <v>2.5</v>
      </c>
      <c r="C51" s="8">
        <f>LN(B51)</f>
        <v/>
      </c>
    </row>
    <row r="52">
      <c r="A52" s="5" t="n">
        <v>92</v>
      </c>
      <c r="B52" s="6" t="n">
        <v>2.4</v>
      </c>
      <c r="C52" s="8">
        <f>LN(B52)</f>
        <v/>
      </c>
    </row>
    <row r="53">
      <c r="A53" s="5" t="n">
        <v>94</v>
      </c>
      <c r="B53" s="6" t="n">
        <v>2.27</v>
      </c>
      <c r="C53" s="8">
        <f>LN(B53)</f>
        <v/>
      </c>
    </row>
    <row r="54">
      <c r="A54" s="5" t="n">
        <v>96</v>
      </c>
      <c r="B54" s="6" t="n">
        <v>2.19</v>
      </c>
      <c r="C54" s="8">
        <f>LN(B54)</f>
        <v/>
      </c>
    </row>
    <row r="55">
      <c r="A55" s="5" t="n">
        <v>98</v>
      </c>
      <c r="B55" s="6" t="n">
        <v>2.08</v>
      </c>
      <c r="C55" s="8">
        <f>LN(B55)</f>
        <v/>
      </c>
    </row>
    <row r="56">
      <c r="A56" s="5" t="n">
        <v>100</v>
      </c>
      <c r="B56" s="6" t="n">
        <v>1.99</v>
      </c>
      <c r="C56" s="8">
        <f>LN(B56)</f>
        <v/>
      </c>
    </row>
    <row r="57">
      <c r="A57" s="5" t="n">
        <v>102</v>
      </c>
      <c r="B57" s="6" t="n">
        <v>1.9</v>
      </c>
      <c r="C57" s="8">
        <f>LN(B57)</f>
        <v/>
      </c>
    </row>
    <row r="58">
      <c r="A58" s="5" t="n">
        <v>104</v>
      </c>
      <c r="B58" s="6" t="n">
        <v>1.8</v>
      </c>
      <c r="C58" s="8">
        <f>LN(B58)</f>
        <v/>
      </c>
    </row>
    <row r="59">
      <c r="A59" s="5" t="n">
        <v>106</v>
      </c>
      <c r="B59" s="6" t="n">
        <v>1.73</v>
      </c>
      <c r="C59" s="8">
        <f>LN(B59)</f>
        <v/>
      </c>
    </row>
    <row r="60">
      <c r="A60" s="5" t="n">
        <v>108</v>
      </c>
      <c r="B60" s="6" t="n">
        <v>1.64</v>
      </c>
      <c r="C60" s="8">
        <f>LN(B60)</f>
        <v/>
      </c>
    </row>
    <row r="61">
      <c r="A61" s="5" t="n">
        <v>110</v>
      </c>
      <c r="B61" s="6" t="n">
        <v>1.57</v>
      </c>
      <c r="C61" s="8">
        <f>LN(B61)</f>
        <v/>
      </c>
    </row>
    <row r="62">
      <c r="A62" s="5" t="n">
        <v>112</v>
      </c>
      <c r="B62" s="6" t="n">
        <v>1.51</v>
      </c>
      <c r="C62" s="8">
        <f>LN(B62)</f>
        <v/>
      </c>
    </row>
    <row r="63">
      <c r="A63" s="5" t="n">
        <v>114</v>
      </c>
      <c r="B63" s="6" t="n">
        <v>1.43</v>
      </c>
      <c r="C63" s="8">
        <f>LN(B63)</f>
        <v/>
      </c>
    </row>
    <row r="64">
      <c r="A64" s="5" t="n">
        <v>116</v>
      </c>
      <c r="B64" s="6" t="n">
        <v>1.37</v>
      </c>
      <c r="C64" s="8">
        <f>LN(B64)</f>
        <v/>
      </c>
    </row>
    <row r="65">
      <c r="A65" s="5" t="n">
        <v>118</v>
      </c>
      <c r="B65" s="6" t="n">
        <v>1.31</v>
      </c>
      <c r="C65" s="8">
        <f>LN(B65)</f>
        <v/>
      </c>
    </row>
    <row r="66">
      <c r="A66" s="5" t="n">
        <v>120</v>
      </c>
      <c r="B66" s="6" t="n">
        <v>1.24</v>
      </c>
      <c r="C66" s="8">
        <f>LN(B66)</f>
        <v/>
      </c>
    </row>
    <row r="67">
      <c r="A67" s="5" t="n">
        <v>122</v>
      </c>
      <c r="B67" s="6" t="n">
        <v>1.19</v>
      </c>
      <c r="C67" s="8">
        <f>LN(B67)</f>
        <v/>
      </c>
    </row>
    <row r="68">
      <c r="A68" s="5" t="n">
        <v>124</v>
      </c>
      <c r="B68" s="6" t="n">
        <v>1.14</v>
      </c>
      <c r="C68" s="8">
        <f>LN(B68)</f>
        <v/>
      </c>
    </row>
    <row r="69">
      <c r="A69" s="5" t="n">
        <v>126</v>
      </c>
      <c r="B69" s="6" t="n">
        <v>1.09</v>
      </c>
      <c r="C69" s="8">
        <f>LN(B69)</f>
        <v/>
      </c>
    </row>
    <row r="70">
      <c r="A70" s="5" t="n">
        <v>128</v>
      </c>
      <c r="B70" s="6" t="n">
        <v>1.04</v>
      </c>
      <c r="C70" s="8">
        <f>LN(B70)</f>
        <v/>
      </c>
    </row>
    <row r="71">
      <c r="A71" s="5" t="n">
        <v>130</v>
      </c>
      <c r="B71" s="6" t="n">
        <v>1</v>
      </c>
      <c r="C71" s="8">
        <f>LN(B71)</f>
        <v/>
      </c>
    </row>
    <row r="72">
      <c r="A72" s="5" t="n">
        <v>132</v>
      </c>
      <c r="B72" s="6" t="n">
        <v>0.9399999999999999</v>
      </c>
      <c r="C72" s="8">
        <f>LN(B72)</f>
        <v/>
      </c>
    </row>
    <row r="73">
      <c r="A73" s="5" t="n">
        <v>134</v>
      </c>
      <c r="B73" s="6" t="n">
        <v>0.91</v>
      </c>
      <c r="C73" s="8">
        <f>LN(B73)</f>
        <v/>
      </c>
    </row>
    <row r="74">
      <c r="A74" s="5" t="n">
        <v>136</v>
      </c>
      <c r="B74" s="6" t="n">
        <v>0.86</v>
      </c>
      <c r="C74" s="8">
        <f>LN(B74)</f>
        <v/>
      </c>
    </row>
    <row r="75">
      <c r="A75" s="5" t="n">
        <v>138</v>
      </c>
      <c r="B75" s="6" t="n">
        <v>0.83</v>
      </c>
      <c r="C75" s="8">
        <f>LN(B75)</f>
        <v/>
      </c>
    </row>
    <row r="76">
      <c r="A76" s="5" t="n">
        <v>140</v>
      </c>
      <c r="B76" s="6" t="n">
        <v>0.78</v>
      </c>
      <c r="C76" s="8">
        <f>LN(B76)</f>
        <v/>
      </c>
    </row>
    <row r="77">
      <c r="A77" s="5" t="n">
        <v>142</v>
      </c>
      <c r="B77" s="6" t="n">
        <v>0.75</v>
      </c>
      <c r="C77" s="8">
        <f>LN(B77)</f>
        <v/>
      </c>
    </row>
    <row r="78">
      <c r="A78" s="5" t="n">
        <v>144</v>
      </c>
      <c r="B78" s="6" t="n">
        <v>0.72</v>
      </c>
      <c r="C78" s="8">
        <f>LN(B78)</f>
        <v/>
      </c>
    </row>
    <row r="79">
      <c r="A79" s="5" t="n">
        <v>146</v>
      </c>
      <c r="B79" s="6" t="n">
        <v>0.6899999999999999</v>
      </c>
      <c r="C79" s="8">
        <f>LN(B79)</f>
        <v/>
      </c>
    </row>
    <row r="80">
      <c r="A80" s="5" t="n">
        <v>148</v>
      </c>
      <c r="B80" s="6" t="n">
        <v>0.66</v>
      </c>
      <c r="C80" s="8">
        <f>LN(B80)</f>
        <v/>
      </c>
    </row>
    <row r="81">
      <c r="A81" s="5" t="n">
        <v>150</v>
      </c>
      <c r="B81" s="6" t="n">
        <v>0.63</v>
      </c>
      <c r="C81" s="8">
        <f>LN(B81)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2026-10-18T22:31:52Z</dcterms:created>
  <dcterms:modified xmlns:dcterms="http://purl.org/dc/terms/" xmlns:xsi="http://www.w3.org/2001/XMLSchema-instance" xsi:type="dcterms:W3CDTF">2026-10-18T22:31:52Z</dcterms:modified>
</cp:coreProperties>
</file>