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T² against cos(θ/2)</a:t>
            </a:r>
          </a:p>
        </rich>
      </tx>
    </title>
    <plotArea>
      <scatterChart>
        <ser>
          <idx val="0"/>
          <order val="0"/>
          <tx>
            <strRef>
              <f>'Suggested solution'!G5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solution'!$F$6:$F$11</f>
            </numRef>
          </xVal>
          <yVal>
            <numRef>
              <f>'Suggested solution'!$G$6:$G$11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cos(θ/2)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T² / s²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ACJC Q1 – V-string pendulum (sample data)</t>
        </is>
      </c>
    </row>
    <row r="2">
      <c r="A2" s="2" t="inlineStr">
        <is>
          <t>l = 20.0 cm. Times are for 20 oscillations.</t>
        </is>
      </c>
    </row>
    <row r="4">
      <c r="E4" s="3" t="inlineStr">
        <is>
          <t>Your processing → fill the yellow cells, then plot your own graph.</t>
        </is>
      </c>
    </row>
    <row r="5">
      <c r="A5" s="4" t="inlineStr">
        <is>
          <t>θ / °</t>
        </is>
      </c>
      <c r="B5" s="4" t="inlineStr">
        <is>
          <t>l / cm</t>
        </is>
      </c>
      <c r="C5" s="4" t="inlineStr">
        <is>
          <t>t1 / s</t>
        </is>
      </c>
      <c r="D5" s="4" t="inlineStr">
        <is>
          <t>t2 / s</t>
        </is>
      </c>
      <c r="E5" s="4" t="inlineStr">
        <is>
          <t>T / s</t>
        </is>
      </c>
      <c r="F5" s="4" t="inlineStr">
        <is>
          <t>cos(θ/2)</t>
        </is>
      </c>
      <c r="G5" s="4" t="inlineStr">
        <is>
          <t>T² / s²</t>
        </is>
      </c>
    </row>
    <row r="6">
      <c r="A6" s="5" t="n">
        <v>51</v>
      </c>
      <c r="B6" s="6" t="n">
        <v>20</v>
      </c>
      <c r="C6" s="7" t="n">
        <v>24.69</v>
      </c>
      <c r="D6" s="7" t="n">
        <v>24.77</v>
      </c>
      <c r="E6" s="8" t="n"/>
      <c r="F6" s="8" t="n"/>
      <c r="G6" s="8" t="n"/>
    </row>
    <row r="7">
      <c r="A7" s="5" t="n">
        <v>70</v>
      </c>
      <c r="B7" s="6" t="n">
        <v>19.9</v>
      </c>
      <c r="C7" s="7" t="n">
        <v>24.3</v>
      </c>
      <c r="D7" s="7" t="n">
        <v>24.08</v>
      </c>
      <c r="E7" s="8" t="n"/>
      <c r="F7" s="8" t="n"/>
      <c r="G7" s="8" t="n"/>
    </row>
    <row r="8">
      <c r="A8" s="5" t="n">
        <v>90</v>
      </c>
      <c r="B8" s="6" t="n">
        <v>19.9</v>
      </c>
      <c r="C8" s="7" t="n">
        <v>23.43</v>
      </c>
      <c r="D8" s="7" t="n">
        <v>23.51</v>
      </c>
      <c r="E8" s="8" t="n"/>
      <c r="F8" s="8" t="n"/>
      <c r="G8" s="8" t="n"/>
    </row>
    <row r="9">
      <c r="A9" s="5" t="n">
        <v>110</v>
      </c>
      <c r="B9" s="6" t="n">
        <v>20</v>
      </c>
      <c r="C9" s="7" t="n">
        <v>22.55</v>
      </c>
      <c r="D9" s="7" t="n">
        <v>22.53</v>
      </c>
      <c r="E9" s="8" t="n"/>
      <c r="F9" s="8" t="n"/>
      <c r="G9" s="8" t="n"/>
    </row>
    <row r="10">
      <c r="A10" s="5" t="n">
        <v>131</v>
      </c>
      <c r="B10" s="6" t="n">
        <v>20</v>
      </c>
      <c r="C10" s="7" t="n">
        <v>21.36</v>
      </c>
      <c r="D10" s="7" t="n">
        <v>21.28</v>
      </c>
      <c r="E10" s="8" t="n"/>
      <c r="F10" s="8" t="n"/>
      <c r="G10" s="8" t="n"/>
    </row>
    <row r="11">
      <c r="A11" s="5" t="n">
        <v>150</v>
      </c>
      <c r="B11" s="6" t="n">
        <v>20</v>
      </c>
      <c r="C11" s="7" t="n">
        <v>20.12</v>
      </c>
      <c r="D11" s="7" t="n">
        <v>20.18</v>
      </c>
      <c r="E11" s="8" t="n"/>
      <c r="F11" s="8" t="n"/>
      <c r="G11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30" customWidth="1" min="9" max="9"/>
    <col width="16" customWidth="1" min="10" max="10"/>
    <col width="28" customWidth="1" min="11" max="11"/>
  </cols>
  <sheetData>
    <row r="1">
      <c r="A1" s="1" t="inlineStr">
        <is>
          <t>ACJC Q1 – V-string pendulum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θ / °</t>
        </is>
      </c>
      <c r="B5" s="4" t="inlineStr">
        <is>
          <t>l / cm</t>
        </is>
      </c>
      <c r="C5" s="4" t="inlineStr">
        <is>
          <t>t1 / s</t>
        </is>
      </c>
      <c r="D5" s="4" t="inlineStr">
        <is>
          <t>t2 / s</t>
        </is>
      </c>
      <c r="E5" s="4" t="inlineStr">
        <is>
          <t>T / s</t>
        </is>
      </c>
      <c r="F5" s="4" t="inlineStr">
        <is>
          <t>cos(θ/2)</t>
        </is>
      </c>
      <c r="G5" s="4" t="inlineStr">
        <is>
          <t>T² / s²</t>
        </is>
      </c>
      <c r="I5" s="4" t="inlineStr">
        <is>
          <t>Result</t>
        </is>
      </c>
      <c r="J5" s="4" t="inlineStr">
        <is>
          <t>Value</t>
        </is>
      </c>
      <c r="K5" s="4" t="inlineStr">
        <is>
          <t>Unit / note</t>
        </is>
      </c>
    </row>
    <row r="6">
      <c r="A6" s="5" t="n">
        <v>51</v>
      </c>
      <c r="B6" s="6" t="n">
        <v>20</v>
      </c>
      <c r="C6" s="7" t="n">
        <v>24.69</v>
      </c>
      <c r="D6" s="7" t="n">
        <v>24.77</v>
      </c>
      <c r="E6" s="9">
        <f>(C6+D6)/40</f>
        <v/>
      </c>
      <c r="F6" s="9">
        <f>COS(RADIANS(A6)/2)</f>
        <v/>
      </c>
      <c r="G6" s="9">
        <f>E6^2</f>
        <v/>
      </c>
      <c r="I6" s="5" t="inlineStr">
        <is>
          <t>gradient = 4π²l/g</t>
        </is>
      </c>
      <c r="J6" s="9">
        <f>SLOPE(G6:G11,F6:F11)</f>
        <v/>
      </c>
      <c r="K6" s="5" t="inlineStr">
        <is>
          <t>s²</t>
        </is>
      </c>
    </row>
    <row r="7">
      <c r="A7" s="5" t="n">
        <v>70</v>
      </c>
      <c r="B7" s="6" t="n">
        <v>19.9</v>
      </c>
      <c r="C7" s="7" t="n">
        <v>24.3</v>
      </c>
      <c r="D7" s="7" t="n">
        <v>24.08</v>
      </c>
      <c r="E7" s="9">
        <f>(C7+D7)/40</f>
        <v/>
      </c>
      <c r="F7" s="9">
        <f>COS(RADIANS(A7)/2)</f>
        <v/>
      </c>
      <c r="G7" s="9">
        <f>E7^2</f>
        <v/>
      </c>
      <c r="I7" s="5" t="inlineStr">
        <is>
          <t>c = intercept</t>
        </is>
      </c>
      <c r="J7" s="9">
        <f>INTERCEPT(G6:G11,F6:F11)</f>
        <v/>
      </c>
      <c r="K7" s="5" t="inlineStr">
        <is>
          <t>s²</t>
        </is>
      </c>
    </row>
    <row r="8">
      <c r="A8" s="5" t="n">
        <v>90</v>
      </c>
      <c r="B8" s="6" t="n">
        <v>19.9</v>
      </c>
      <c r="C8" s="7" t="n">
        <v>23.43</v>
      </c>
      <c r="D8" s="7" t="n">
        <v>23.51</v>
      </c>
      <c r="E8" s="9">
        <f>(C8+D8)/40</f>
        <v/>
      </c>
      <c r="F8" s="9">
        <f>COS(RADIANS(A8)/2)</f>
        <v/>
      </c>
      <c r="G8" s="9">
        <f>E8^2</f>
        <v/>
      </c>
      <c r="I8" s="5" t="inlineStr">
        <is>
          <t>g = 4π²(0.200)/gradient</t>
        </is>
      </c>
      <c r="J8" s="9">
        <f>4*PI()^2*0.2/SLOPE(G6:G11,F6:F11)</f>
        <v/>
      </c>
      <c r="K8" s="5" t="inlineStr">
        <is>
          <t>m s⁻²</t>
        </is>
      </c>
    </row>
    <row r="9">
      <c r="A9" s="5" t="n">
        <v>110</v>
      </c>
      <c r="B9" s="6" t="n">
        <v>20</v>
      </c>
      <c r="C9" s="7" t="n">
        <v>22.55</v>
      </c>
      <c r="D9" s="7" t="n">
        <v>22.53</v>
      </c>
      <c r="E9" s="9">
        <f>(C9+D9)/40</f>
        <v/>
      </c>
      <c r="F9" s="9">
        <f>COS(RADIANS(A9)/2)</f>
        <v/>
      </c>
      <c r="G9" s="9">
        <f>E9^2</f>
        <v/>
      </c>
    </row>
    <row r="10">
      <c r="A10" s="5" t="n">
        <v>131</v>
      </c>
      <c r="B10" s="6" t="n">
        <v>20</v>
      </c>
      <c r="C10" s="7" t="n">
        <v>21.36</v>
      </c>
      <c r="D10" s="7" t="n">
        <v>21.28</v>
      </c>
      <c r="E10" s="9">
        <f>(C10+D10)/40</f>
        <v/>
      </c>
      <c r="F10" s="9">
        <f>COS(RADIANS(A10)/2)</f>
        <v/>
      </c>
      <c r="G10" s="9">
        <f>E10^2</f>
        <v/>
      </c>
    </row>
    <row r="11">
      <c r="A11" s="5" t="n">
        <v>150</v>
      </c>
      <c r="B11" s="6" t="n">
        <v>20</v>
      </c>
      <c r="C11" s="7" t="n">
        <v>20.12</v>
      </c>
      <c r="D11" s="7" t="n">
        <v>20.18</v>
      </c>
      <c r="E11" s="9">
        <f>(C11+D11)/40</f>
        <v/>
      </c>
      <c r="F11" s="9">
        <f>COS(RADIANS(A11)/2)</f>
        <v/>
      </c>
      <c r="G11" s="9">
        <f>E11^2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2026-10-18T22:31:52Z</dcterms:created>
  <dcterms:modified xmlns:dcterms="http://purl.org/dc/terms/" xmlns:xsi="http://www.w3.org/2001/XMLSchema-instance" xsi:type="dcterms:W3CDTF">2026-10-18T22:31:52Z</dcterms:modified>
</cp:coreProperties>
</file>