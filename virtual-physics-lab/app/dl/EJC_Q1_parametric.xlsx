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23" customWidth="1" min="8" max="8"/>
  </cols>
  <sheetData>
    <row r="1">
      <c r="A1" s="1" t="inlineStr">
        <is>
          <t>EJC Q1 – Spring–string parametric oscillator (sample data)</t>
        </is>
      </c>
    </row>
    <row r="2">
      <c r="A2" s="2" t="inlineStr">
        <is>
          <t>Times for 20 vertical oscillations, the tuned length l and the energy-exchange interval t.</t>
        </is>
      </c>
    </row>
    <row r="4">
      <c r="F4" s="3" t="inlineStr">
        <is>
          <t>Your processing → fill the yellow cells, then plot your own graph.</t>
        </is>
      </c>
    </row>
    <row r="5">
      <c r="A5" s="4" t="inlineStr">
        <is>
          <t>m / kg</t>
        </is>
      </c>
      <c r="B5" s="4" t="inlineStr">
        <is>
          <t>t20 (1) / s</t>
        </is>
      </c>
      <c r="C5" s="4" t="inlineStr">
        <is>
          <t>t20 (2) / s</t>
        </is>
      </c>
      <c r="D5" s="4" t="inlineStr">
        <is>
          <t>d / cm</t>
        </is>
      </c>
      <c r="E5" s="4" t="inlineStr">
        <is>
          <t>t / s</t>
        </is>
      </c>
      <c r="F5" s="4" t="inlineStr">
        <is>
          <t>T / s</t>
        </is>
      </c>
      <c r="G5" s="4" t="inlineStr">
        <is>
          <t>l / m</t>
        </is>
      </c>
      <c r="H5" s="4" t="inlineStr">
        <is>
          <t>k = t²/m² / s² kg⁻²</t>
        </is>
      </c>
    </row>
    <row r="6">
      <c r="A6" s="5" t="n">
        <v>0.3</v>
      </c>
      <c r="B6" s="6" t="n">
        <v>13.63</v>
      </c>
      <c r="C6" s="6" t="n">
        <v>13.71</v>
      </c>
      <c r="D6" s="5" t="n">
        <v>46.7</v>
      </c>
      <c r="E6" s="5" t="n">
        <v>22.7</v>
      </c>
      <c r="F6" s="7" t="n"/>
      <c r="G6" s="7" t="n"/>
      <c r="H6" s="7" t="n"/>
    </row>
    <row r="7">
      <c r="A7" s="5" t="n">
        <v>0.4</v>
      </c>
      <c r="B7" s="6" t="n">
        <v>15.73</v>
      </c>
      <c r="C7" s="6" t="n">
        <v>15.77</v>
      </c>
      <c r="D7" s="5" t="n">
        <v>61.5</v>
      </c>
      <c r="E7" s="5" t="n">
        <v>30.1</v>
      </c>
      <c r="F7" s="7" t="n"/>
      <c r="G7" s="7" t="n"/>
      <c r="H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23" customWidth="1" min="8" max="8"/>
    <col width="30" customWidth="1" min="10" max="10"/>
    <col width="16" customWidth="1" min="11" max="11"/>
    <col width="28" customWidth="1" min="12" max="12"/>
  </cols>
  <sheetData>
    <row r="1">
      <c r="A1" s="1" t="inlineStr">
        <is>
          <t>EJC Q1 – Spring–string parametric oscillator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m / kg</t>
        </is>
      </c>
      <c r="B5" s="4" t="inlineStr">
        <is>
          <t>t20 (1) / s</t>
        </is>
      </c>
      <c r="C5" s="4" t="inlineStr">
        <is>
          <t>t20 (2) / s</t>
        </is>
      </c>
      <c r="D5" s="4" t="inlineStr">
        <is>
          <t>d / cm</t>
        </is>
      </c>
      <c r="E5" s="4" t="inlineStr">
        <is>
          <t>t / s</t>
        </is>
      </c>
      <c r="F5" s="4" t="inlineStr">
        <is>
          <t>T / s</t>
        </is>
      </c>
      <c r="G5" s="4" t="inlineStr">
        <is>
          <t>l / m</t>
        </is>
      </c>
      <c r="H5" s="4" t="inlineStr">
        <is>
          <t>k = t²/m² / s² kg⁻²</t>
        </is>
      </c>
      <c r="J5" s="4" t="inlineStr">
        <is>
          <t>Result</t>
        </is>
      </c>
      <c r="K5" s="4" t="inlineStr">
        <is>
          <t>Value</t>
        </is>
      </c>
      <c r="L5" s="4" t="inlineStr">
        <is>
          <t>Unit / note</t>
        </is>
      </c>
    </row>
    <row r="6">
      <c r="A6" s="5" t="n">
        <v>0.3</v>
      </c>
      <c r="B6" s="6" t="n">
        <v>13.63</v>
      </c>
      <c r="C6" s="6" t="n">
        <v>13.71</v>
      </c>
      <c r="D6" s="5" t="n">
        <v>46.7</v>
      </c>
      <c r="E6" s="5" t="n">
        <v>22.7</v>
      </c>
      <c r="F6" s="8">
        <f>ROUND((B6+C6)/40,3)</f>
        <v/>
      </c>
      <c r="G6" s="8">
        <f>9.81*F6^2/PI()^2</f>
        <v/>
      </c>
      <c r="H6" s="8">
        <f>E6^2/A6^2</f>
        <v/>
      </c>
      <c r="J6" s="9" t="inlineStr">
        <is>
          <t>% difference in k</t>
        </is>
      </c>
      <c r="K6" s="8">
        <f>ABS(H6-H7)/MIN(H6:H7)*100</f>
        <v/>
      </c>
      <c r="L6" s="9" t="inlineStr">
        <is>
          <t>%</t>
        </is>
      </c>
    </row>
    <row r="7">
      <c r="A7" s="5" t="n">
        <v>0.4</v>
      </c>
      <c r="B7" s="6" t="n">
        <v>15.73</v>
      </c>
      <c r="C7" s="6" t="n">
        <v>15.77</v>
      </c>
      <c r="D7" s="5" t="n">
        <v>61.5</v>
      </c>
      <c r="E7" s="5" t="n">
        <v>30.1</v>
      </c>
      <c r="F7" s="8">
        <f>ROUND((B7+C7)/40,3)</f>
        <v/>
      </c>
      <c r="G7" s="8">
        <f>9.81*F7^2/PI()^2</f>
        <v/>
      </c>
      <c r="H7" s="8">
        <f>E7^2/A7^2</f>
        <v/>
      </c>
      <c r="J7" s="9" t="inlineStr">
        <is>
          <t>2 × % uncertainty in t (Δt = 1 s)</t>
        </is>
      </c>
      <c r="K7" s="8">
        <f>2*1/E6*100</f>
        <v/>
      </c>
      <c r="L7" s="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2026-10-18T22:22:18Z</dcterms:created>
  <dcterms:modified xmlns:dcterms="http://purl.org/dc/terms/" xmlns:xsi="http://www.w3.org/2001/XMLSchema-instance" xsi:type="dcterms:W3CDTF">2026-10-18T22:22:18Z</dcterms:modified>
</cp:coreProperties>
</file>