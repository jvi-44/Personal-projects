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1/I against x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solution'!$C$6:$C$12</f>
            </numRef>
          </xVal>
          <yVal>
            <numRef>
              <f>'Suggested solution'!$D$6:$D$12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1/I / A⁻¹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SAJC Q1 – Two wires (sample data)</t>
        </is>
      </c>
    </row>
    <row r="2">
      <c r="A2" s="2" t="inlineStr">
        <is>
          <t>d_F = 0.27 mm. Plot 1/I against x (m).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x / cm</t>
        </is>
      </c>
      <c r="B5" s="4" t="inlineStr">
        <is>
          <t>I / A</t>
        </is>
      </c>
      <c r="C5" s="4" t="inlineStr">
        <is>
          <t>x / m</t>
        </is>
      </c>
      <c r="D5" s="4" t="inlineStr">
        <is>
          <t>1/I / A⁻¹</t>
        </is>
      </c>
    </row>
    <row r="6">
      <c r="A6" s="5" t="n">
        <v>10</v>
      </c>
      <c r="B6" s="5" t="n">
        <v>0.405</v>
      </c>
      <c r="C6" s="6" t="n"/>
      <c r="D6" s="6" t="n"/>
    </row>
    <row r="7">
      <c r="A7" s="5" t="n">
        <v>20</v>
      </c>
      <c r="B7" s="5" t="n">
        <v>0.354</v>
      </c>
      <c r="C7" s="6" t="n"/>
      <c r="D7" s="6" t="n"/>
    </row>
    <row r="8">
      <c r="A8" s="5" t="n">
        <v>35</v>
      </c>
      <c r="B8" s="5" t="n">
        <v>0.298</v>
      </c>
      <c r="C8" s="6" t="n"/>
      <c r="D8" s="6" t="n"/>
    </row>
    <row r="9">
      <c r="A9" s="5" t="n">
        <v>50</v>
      </c>
      <c r="B9" s="5" t="n">
        <v>0.258</v>
      </c>
      <c r="C9" s="6" t="n"/>
      <c r="D9" s="6" t="n"/>
    </row>
    <row r="10">
      <c r="A10" s="5" t="n">
        <v>65</v>
      </c>
      <c r="B10" s="5" t="n">
        <v>0.227</v>
      </c>
      <c r="C10" s="6" t="n"/>
      <c r="D10" s="6" t="n"/>
    </row>
    <row r="11">
      <c r="A11" s="5" t="n">
        <v>80</v>
      </c>
      <c r="B11" s="5" t="n">
        <v>0.203</v>
      </c>
      <c r="C11" s="6" t="n"/>
      <c r="D11" s="6" t="n"/>
    </row>
    <row r="12">
      <c r="A12" s="5" t="n">
        <v>90</v>
      </c>
      <c r="B12" s="5" t="n">
        <v>0.19</v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SAJC Q1 – Two wires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cm</t>
        </is>
      </c>
      <c r="B5" s="4" t="inlineStr">
        <is>
          <t>I / A</t>
        </is>
      </c>
      <c r="C5" s="4" t="inlineStr">
        <is>
          <t>x / m</t>
        </is>
      </c>
      <c r="D5" s="4" t="inlineStr">
        <is>
          <t>1/I / A⁻¹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10</v>
      </c>
      <c r="B6" s="5" t="n">
        <v>0.405</v>
      </c>
      <c r="C6" s="7">
        <f>A6/100</f>
        <v/>
      </c>
      <c r="D6" s="7">
        <f>1/B6</f>
        <v/>
      </c>
      <c r="F6" s="5" t="inlineStr">
        <is>
          <t>P</t>
        </is>
      </c>
      <c r="G6" s="7">
        <f>SLOPE(D6:D12,C6:C12)</f>
        <v/>
      </c>
      <c r="H6" s="5" t="inlineStr">
        <is>
          <t>A⁻¹ m⁻¹</t>
        </is>
      </c>
    </row>
    <row r="7">
      <c r="A7" s="5" t="n">
        <v>20</v>
      </c>
      <c r="B7" s="5" t="n">
        <v>0.354</v>
      </c>
      <c r="C7" s="7">
        <f>A7/100</f>
        <v/>
      </c>
      <c r="D7" s="7">
        <f>1/B7</f>
        <v/>
      </c>
      <c r="F7" s="5" t="inlineStr">
        <is>
          <t>Q</t>
        </is>
      </c>
      <c r="G7" s="7">
        <f>INTERCEPT(D6:D12,C6:C12)</f>
        <v/>
      </c>
      <c r="H7" s="5" t="inlineStr">
        <is>
          <t>A⁻¹</t>
        </is>
      </c>
    </row>
    <row r="8">
      <c r="A8" s="5" t="n">
        <v>35</v>
      </c>
      <c r="B8" s="5" t="n">
        <v>0.298</v>
      </c>
      <c r="C8" s="7">
        <f>A8/100</f>
        <v/>
      </c>
      <c r="D8" s="7">
        <f>1/B8</f>
        <v/>
      </c>
      <c r="F8" s="5" t="inlineStr">
        <is>
          <t>d_G = d_F√(1 + LP/Q)</t>
        </is>
      </c>
      <c r="G8" s="7">
        <f>0.274*SQRT(1+SLOPE(D6:D12,C6:C12)/INTERCEPT(D6:D12,C6:C12))</f>
        <v/>
      </c>
      <c r="H8" s="5" t="inlineStr">
        <is>
          <t>mm</t>
        </is>
      </c>
    </row>
    <row r="9">
      <c r="A9" s="5" t="n">
        <v>50</v>
      </c>
      <c r="B9" s="5" t="n">
        <v>0.258</v>
      </c>
      <c r="C9" s="7">
        <f>A9/100</f>
        <v/>
      </c>
      <c r="D9" s="7">
        <f>1/B9</f>
        <v/>
      </c>
    </row>
    <row r="10">
      <c r="A10" s="5" t="n">
        <v>65</v>
      </c>
      <c r="B10" s="5" t="n">
        <v>0.227</v>
      </c>
      <c r="C10" s="7">
        <f>A10/100</f>
        <v/>
      </c>
      <c r="D10" s="7">
        <f>1/B10</f>
        <v/>
      </c>
    </row>
    <row r="11">
      <c r="A11" s="5" t="n">
        <v>80</v>
      </c>
      <c r="B11" s="5" t="n">
        <v>0.203</v>
      </c>
      <c r="C11" s="7">
        <f>A11/100</f>
        <v/>
      </c>
      <c r="D11" s="7">
        <f>1/B11</f>
        <v/>
      </c>
    </row>
    <row r="12">
      <c r="A12" s="5" t="n">
        <v>90</v>
      </c>
      <c r="B12" s="5" t="n">
        <v>0.19</v>
      </c>
      <c r="C12" s="7">
        <f>A12/100</f>
        <v/>
      </c>
      <c r="D12" s="7">
        <f>1/B12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2026-10-18T09:41:12Z</dcterms:created>
  <dcterms:modified xmlns:dcterms="http://purl.org/dc/terms/" xmlns:xsi="http://www.w3.org/2001/XMLSchema-instance" xsi:type="dcterms:W3CDTF">2026-10-18T09:41:12Z</dcterms:modified>
</cp:coreProperties>
</file>