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T²y against y²</a:t>
            </a:r>
          </a:p>
        </rich>
      </tx>
    </title>
    <plotArea>
      <scatterChart>
        <ser>
          <idx val="0"/>
          <order val="0"/>
          <tx>
            <strRef>
              <f>'Suggested solution'!F5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solution'!$G$6:$G$12</f>
            </numRef>
          </xVal>
          <yVal>
            <numRef>
              <f>'Suggested solution'!$F$6:$F$12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y² / m²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T²y / s² 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3" customWidth="1" min="7" max="7"/>
  </cols>
  <sheetData>
    <row r="1">
      <c r="A1" s="1" t="inlineStr">
        <is>
          <t>ASRJC Q2 – Compound pendulum (sample data)</t>
        </is>
      </c>
    </row>
    <row r="2">
      <c r="A2" s="2" t="inlineStr">
        <is>
          <t>a = 50.0 cm. Times are for 20 oscillations.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z / cm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y / m</t>
        </is>
      </c>
      <c r="F5" s="4" t="inlineStr">
        <is>
          <t>T²y / s² m</t>
        </is>
      </c>
      <c r="G5" s="4" t="inlineStr">
        <is>
          <t>y² / m²</t>
        </is>
      </c>
    </row>
    <row r="6">
      <c r="A6" s="5" t="n">
        <v>5</v>
      </c>
      <c r="B6" s="5" t="n">
        <v>32.12</v>
      </c>
      <c r="C6" s="5" t="n">
        <v>32.06</v>
      </c>
      <c r="D6" s="6" t="n"/>
      <c r="E6" s="6" t="n"/>
      <c r="F6" s="6" t="n"/>
      <c r="G6" s="6" t="n"/>
    </row>
    <row r="7">
      <c r="A7" s="5" t="n">
        <v>10</v>
      </c>
      <c r="B7" s="5" t="n">
        <v>31.4</v>
      </c>
      <c r="C7" s="5" t="n">
        <v>31.36</v>
      </c>
      <c r="D7" s="6" t="n"/>
      <c r="E7" s="6" t="n"/>
      <c r="F7" s="6" t="n"/>
      <c r="G7" s="6" t="n"/>
    </row>
    <row r="8">
      <c r="A8" s="5" t="n">
        <v>15</v>
      </c>
      <c r="B8" s="5" t="n">
        <v>30.74</v>
      </c>
      <c r="C8" s="5" t="n">
        <v>30.8</v>
      </c>
      <c r="D8" s="6" t="n"/>
      <c r="E8" s="6" t="n"/>
      <c r="F8" s="6" t="n"/>
      <c r="G8" s="6" t="n"/>
    </row>
    <row r="9">
      <c r="A9" s="5" t="n">
        <v>20</v>
      </c>
      <c r="B9" s="5" t="n">
        <v>30.48</v>
      </c>
      <c r="C9" s="5" t="n">
        <v>30.51</v>
      </c>
      <c r="D9" s="6" t="n"/>
      <c r="E9" s="6" t="n"/>
      <c r="F9" s="6" t="n"/>
      <c r="G9" s="6" t="n"/>
    </row>
    <row r="10">
      <c r="A10" s="5" t="n">
        <v>25</v>
      </c>
      <c r="B10" s="5" t="n">
        <v>30.69</v>
      </c>
      <c r="C10" s="5" t="n">
        <v>30.77</v>
      </c>
      <c r="D10" s="6" t="n"/>
      <c r="E10" s="6" t="n"/>
      <c r="F10" s="6" t="n"/>
      <c r="G10" s="6" t="n"/>
    </row>
    <row r="11">
      <c r="A11" s="5" t="n">
        <v>30</v>
      </c>
      <c r="B11" s="5" t="n">
        <v>31.64</v>
      </c>
      <c r="C11" s="5" t="n">
        <v>31.52</v>
      </c>
      <c r="D11" s="6" t="n"/>
      <c r="E11" s="6" t="n"/>
      <c r="F11" s="6" t="n"/>
      <c r="G11" s="6" t="n"/>
    </row>
    <row r="12">
      <c r="A12" s="5" t="n">
        <v>35</v>
      </c>
      <c r="B12" s="5" t="n">
        <v>33.68</v>
      </c>
      <c r="C12" s="5" t="n">
        <v>33.84</v>
      </c>
      <c r="D12" s="6" t="n"/>
      <c r="E12" s="6" t="n"/>
      <c r="F12" s="6" t="n"/>
      <c r="G1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3" customWidth="1" min="7" max="7"/>
    <col width="30" customWidth="1" min="9" max="9"/>
    <col width="16" customWidth="1" min="10" max="10"/>
    <col width="28" customWidth="1" min="11" max="11"/>
  </cols>
  <sheetData>
    <row r="1">
      <c r="A1" s="1" t="inlineStr">
        <is>
          <t>ASRJC Q2 – Compound pendulum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z / cm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y / m</t>
        </is>
      </c>
      <c r="F5" s="4" t="inlineStr">
        <is>
          <t>T²y / s² m</t>
        </is>
      </c>
      <c r="G5" s="4" t="inlineStr">
        <is>
          <t>y² / m²</t>
        </is>
      </c>
      <c r="I5" s="4" t="inlineStr">
        <is>
          <t>Result</t>
        </is>
      </c>
      <c r="J5" s="4" t="inlineStr">
        <is>
          <t>Value</t>
        </is>
      </c>
      <c r="K5" s="4" t="inlineStr">
        <is>
          <t>Unit / note</t>
        </is>
      </c>
    </row>
    <row r="6">
      <c r="A6" s="5" t="n">
        <v>5</v>
      </c>
      <c r="B6" s="5" t="n">
        <v>32.12</v>
      </c>
      <c r="C6" s="5" t="n">
        <v>32.06</v>
      </c>
      <c r="D6" s="7">
        <f>(B6+C6)/40</f>
        <v/>
      </c>
      <c r="E6" s="7">
        <f>(50.0-A6)/100</f>
        <v/>
      </c>
      <c r="F6" s="7">
        <f>D6^2*E6</f>
        <v/>
      </c>
      <c r="G6" s="7">
        <f>E6^2</f>
        <v/>
      </c>
      <c r="I6" s="5" t="inlineStr">
        <is>
          <t>M = gradient</t>
        </is>
      </c>
      <c r="J6" s="7">
        <f>SLOPE(F6:F12,G6:G12)</f>
        <v/>
      </c>
      <c r="K6" s="5" t="inlineStr">
        <is>
          <t>s² m⁻¹</t>
        </is>
      </c>
    </row>
    <row r="7">
      <c r="A7" s="5" t="n">
        <v>10</v>
      </c>
      <c r="B7" s="5" t="n">
        <v>31.4</v>
      </c>
      <c r="C7" s="5" t="n">
        <v>31.36</v>
      </c>
      <c r="D7" s="7">
        <f>(B7+C7)/40</f>
        <v/>
      </c>
      <c r="E7" s="7">
        <f>(50.0-A7)/100</f>
        <v/>
      </c>
      <c r="F7" s="7">
        <f>D7^2*E7</f>
        <v/>
      </c>
      <c r="G7" s="7">
        <f>E7^2</f>
        <v/>
      </c>
      <c r="I7" s="5" t="inlineStr">
        <is>
          <t>b = √(intercept/M)</t>
        </is>
      </c>
      <c r="J7" s="7">
        <f>SQRT(INTERCEPT(F6:F12,G6:G12)/SLOPE(F6:F12,G6:G12))</f>
        <v/>
      </c>
      <c r="K7" s="5" t="inlineStr">
        <is>
          <t>m</t>
        </is>
      </c>
    </row>
    <row r="8">
      <c r="A8" s="5" t="n">
        <v>15</v>
      </c>
      <c r="B8" s="5" t="n">
        <v>30.74</v>
      </c>
      <c r="C8" s="5" t="n">
        <v>30.8</v>
      </c>
      <c r="D8" s="7">
        <f>(B8+C8)/40</f>
        <v/>
      </c>
      <c r="E8" s="7">
        <f>(50.0-A8)/100</f>
        <v/>
      </c>
      <c r="F8" s="7">
        <f>D8^2*E8</f>
        <v/>
      </c>
      <c r="G8" s="7">
        <f>E8^2</f>
        <v/>
      </c>
      <c r="I8" s="5" t="inlineStr">
        <is>
          <t>g = 4π²/M</t>
        </is>
      </c>
      <c r="J8" s="7">
        <f>4*PI()^2/SLOPE(F6:F12,G6:G12)</f>
        <v/>
      </c>
      <c r="K8" s="5" t="inlineStr">
        <is>
          <t>m s⁻²</t>
        </is>
      </c>
    </row>
    <row r="9">
      <c r="A9" s="5" t="n">
        <v>20</v>
      </c>
      <c r="B9" s="5" t="n">
        <v>30.48</v>
      </c>
      <c r="C9" s="5" t="n">
        <v>30.51</v>
      </c>
      <c r="D9" s="7">
        <f>(B9+C9)/40</f>
        <v/>
      </c>
      <c r="E9" s="7">
        <f>(50.0-A9)/100</f>
        <v/>
      </c>
      <c r="F9" s="7">
        <f>D9^2*E9</f>
        <v/>
      </c>
      <c r="G9" s="7">
        <f>E9^2</f>
        <v/>
      </c>
    </row>
    <row r="10">
      <c r="A10" s="5" t="n">
        <v>25</v>
      </c>
      <c r="B10" s="5" t="n">
        <v>30.69</v>
      </c>
      <c r="C10" s="5" t="n">
        <v>30.77</v>
      </c>
      <c r="D10" s="7">
        <f>(B10+C10)/40</f>
        <v/>
      </c>
      <c r="E10" s="7">
        <f>(50.0-A10)/100</f>
        <v/>
      </c>
      <c r="F10" s="7">
        <f>D10^2*E10</f>
        <v/>
      </c>
      <c r="G10" s="7">
        <f>E10^2</f>
        <v/>
      </c>
    </row>
    <row r="11">
      <c r="A11" s="5" t="n">
        <v>30</v>
      </c>
      <c r="B11" s="5" t="n">
        <v>31.64</v>
      </c>
      <c r="C11" s="5" t="n">
        <v>31.52</v>
      </c>
      <c r="D11" s="7">
        <f>(B11+C11)/40</f>
        <v/>
      </c>
      <c r="E11" s="7">
        <f>(50.0-A11)/100</f>
        <v/>
      </c>
      <c r="F11" s="7">
        <f>D11^2*E11</f>
        <v/>
      </c>
      <c r="G11" s="7">
        <f>E11^2</f>
        <v/>
      </c>
    </row>
    <row r="12">
      <c r="A12" s="5" t="n">
        <v>35</v>
      </c>
      <c r="B12" s="5" t="n">
        <v>33.68</v>
      </c>
      <c r="C12" s="5" t="n">
        <v>33.84</v>
      </c>
      <c r="D12" s="7">
        <f>(B12+C12)/40</f>
        <v/>
      </c>
      <c r="E12" s="7">
        <f>(50.0-A12)/100</f>
        <v/>
      </c>
      <c r="F12" s="7">
        <f>D12^2*E12</f>
        <v/>
      </c>
      <c r="G12" s="7">
        <f>E12^2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2026-10-18T09:45:21Z</dcterms:created>
  <dcterms:modified xmlns:dcterms="http://purl.org/dc/terms/" xmlns:xsi="http://www.w3.org/2001/XMLSchema-instance" xsi:type="dcterms:W3CDTF">2026-10-18T09:45:21Z</dcterms:modified>
</cp:coreProperties>
</file>