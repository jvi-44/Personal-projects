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uggested sol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b val="1"/>
      <color rgb="001D2A44"/>
      <sz val="14"/>
    </font>
    <font>
      <i val="1"/>
      <color rgb="0055617A"/>
    </font>
    <font>
      <b val="1"/>
      <color rgb="00FFFFFF"/>
    </font>
    <font>
      <b val="1"/>
      <color rgb="009A5B00"/>
    </font>
    <font>
      <color rgb="001550C8"/>
    </font>
  </fonts>
  <fills count="4">
    <fill>
      <patternFill/>
    </fill>
    <fill>
      <patternFill patternType="gray125"/>
    </fill>
    <fill>
      <patternFill patternType="solid">
        <fgColor rgb="002A4D8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B8C4DA"/>
      </left>
      <right style="thin">
        <color rgb="00B8C4DA"/>
      </right>
      <top style="thin">
        <color rgb="00B8C4DA"/>
      </top>
      <bottom style="thin">
        <color rgb="00B8C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0" fontId="0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θ against h</a:t>
            </a:r>
          </a:p>
        </rich>
      </tx>
    </title>
    <plotArea>
      <scatterChart>
        <ser>
          <idx val="0"/>
          <order val="0"/>
          <tx>
            <strRef>
              <f>'Suggested solution'!D5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x"/>
            <size val="7"/>
            <spPr>
              <a:ln xmlns:a="http://schemas.openxmlformats.org/drawingml/2006/main">
                <a:prstDash val="solid"/>
              </a:ln>
            </spPr>
          </marker>
          <trendline>
            <trendlineType val="poly"/>
            <order val="2"/>
            <dispRSqr val="1"/>
            <dispEq val="1"/>
          </trendline>
          <xVal>
            <numRef>
              <f>'Suggested solution'!$A$6:$A$12</f>
            </numRef>
          </xVal>
          <yVal>
            <numRef>
              <f>'Suggested solution'!$D$6:$D$12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/ cm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θ / °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9</row>
      <rowOff>0</rowOff>
    </from>
    <ext cx="576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31" customWidth="1" min="6" max="6"/>
  </cols>
  <sheetData>
    <row r="1">
      <c r="A1" s="1" t="inlineStr">
        <is>
          <t>ASRJC Q3 – Toppling angle against water height (sample data)</t>
        </is>
      </c>
    </row>
    <row r="2">
      <c r="A2" s="2" t="inlineStr">
        <is>
          <t>d = 4.52 cm.</t>
        </is>
      </c>
    </row>
    <row r="4">
      <c r="D4" s="3" t="inlineStr">
        <is>
          <t>Your processing → fill the yellow cells, then plot your own graph.</t>
        </is>
      </c>
    </row>
    <row r="5">
      <c r="A5" s="4" t="inlineStr">
        <is>
          <t>h / cm</t>
        </is>
      </c>
      <c r="B5" s="4" t="inlineStr">
        <is>
          <t>θ1 / °</t>
        </is>
      </c>
      <c r="C5" s="4" t="inlineStr">
        <is>
          <t>θ2 / °</t>
        </is>
      </c>
      <c r="D5" s="4" t="inlineStr">
        <is>
          <t>θ / °</t>
        </is>
      </c>
      <c r="E5" s="4" t="inlineStr">
        <is>
          <t>cos²θ</t>
        </is>
      </c>
      <c r="F5" s="4" t="inlineStr">
        <is>
          <t>k = cos²θ((d/2)²+h²)/h / cm</t>
        </is>
      </c>
    </row>
    <row r="6">
      <c r="A6" s="5" t="n">
        <v>0</v>
      </c>
      <c r="B6" s="6" t="n">
        <v>23</v>
      </c>
      <c r="C6" s="6" t="n">
        <v>23</v>
      </c>
      <c r="D6" s="7" t="n"/>
      <c r="E6" s="7" t="n"/>
      <c r="F6" s="7" t="n"/>
    </row>
    <row r="7">
      <c r="A7" s="5" t="n">
        <v>1</v>
      </c>
      <c r="B7" s="6" t="n">
        <v>40</v>
      </c>
      <c r="C7" s="6" t="n">
        <v>41</v>
      </c>
      <c r="D7" s="7" t="n"/>
      <c r="E7" s="7" t="n"/>
      <c r="F7" s="7" t="n"/>
    </row>
    <row r="8">
      <c r="A8" s="5" t="n">
        <v>2</v>
      </c>
      <c r="B8" s="6" t="n">
        <v>44</v>
      </c>
      <c r="C8" s="6" t="n">
        <v>45</v>
      </c>
      <c r="D8" s="7" t="n"/>
      <c r="E8" s="7" t="n"/>
      <c r="F8" s="7" t="n"/>
    </row>
    <row r="9">
      <c r="A9" s="5" t="n">
        <v>3</v>
      </c>
      <c r="B9" s="6" t="n">
        <v>44</v>
      </c>
      <c r="C9" s="6" t="n">
        <v>43</v>
      </c>
      <c r="D9" s="7" t="n"/>
      <c r="E9" s="7" t="n"/>
      <c r="F9" s="7" t="n"/>
    </row>
    <row r="10">
      <c r="A10" s="5" t="n">
        <v>4</v>
      </c>
      <c r="B10" s="6" t="n">
        <v>41</v>
      </c>
      <c r="C10" s="6" t="n">
        <v>41</v>
      </c>
      <c r="D10" s="7" t="n"/>
      <c r="E10" s="7" t="n"/>
      <c r="F10" s="7" t="n"/>
    </row>
    <row r="11">
      <c r="A11" s="5" t="n">
        <v>5</v>
      </c>
      <c r="B11" s="6" t="n">
        <v>39</v>
      </c>
      <c r="C11" s="6" t="n">
        <v>38</v>
      </c>
      <c r="D11" s="7" t="n"/>
      <c r="E11" s="7" t="n"/>
      <c r="F11" s="7" t="n"/>
    </row>
    <row r="12">
      <c r="A12" s="5" t="n">
        <v>6</v>
      </c>
      <c r="B12" s="6" t="n">
        <v>33</v>
      </c>
      <c r="C12" s="6" t="n">
        <v>34</v>
      </c>
      <c r="D12" s="7" t="n"/>
      <c r="E12" s="7" t="n"/>
      <c r="F12" s="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3" customWidth="1" min="5" max="5"/>
    <col width="31" customWidth="1" min="6" max="6"/>
    <col width="30" customWidth="1" min="8" max="8"/>
    <col width="16" customWidth="1" min="9" max="9"/>
    <col width="28" customWidth="1" min="10" max="10"/>
  </cols>
  <sheetData>
    <row r="1">
      <c r="A1" s="1" t="inlineStr">
        <is>
          <t>ASRJC Q3 – Toppling angle against water height (sample data)</t>
        </is>
      </c>
    </row>
    <row r="2">
      <c r="A2" s="2" t="inlineStr">
        <is>
          <t>Suggested processing (blue = formulas). Compare your own working on the first tab.</t>
        </is>
      </c>
    </row>
    <row r="5">
      <c r="A5" s="4" t="inlineStr">
        <is>
          <t>h / cm</t>
        </is>
      </c>
      <c r="B5" s="4" t="inlineStr">
        <is>
          <t>θ1 / °</t>
        </is>
      </c>
      <c r="C5" s="4" t="inlineStr">
        <is>
          <t>θ2 / °</t>
        </is>
      </c>
      <c r="D5" s="4" t="inlineStr">
        <is>
          <t>θ / °</t>
        </is>
      </c>
      <c r="E5" s="4" t="inlineStr">
        <is>
          <t>cos²θ</t>
        </is>
      </c>
      <c r="F5" s="4" t="inlineStr">
        <is>
          <t>k = cos²θ((d/2)²+h²)/h / cm</t>
        </is>
      </c>
      <c r="H5" s="4" t="inlineStr">
        <is>
          <t>Result</t>
        </is>
      </c>
      <c r="I5" s="4" t="inlineStr">
        <is>
          <t>Value</t>
        </is>
      </c>
      <c r="J5" s="4" t="inlineStr">
        <is>
          <t>Unit / note</t>
        </is>
      </c>
    </row>
    <row r="6">
      <c r="A6" s="5" t="n">
        <v>0</v>
      </c>
      <c r="B6" s="6" t="n">
        <v>23</v>
      </c>
      <c r="C6" s="6" t="n">
        <v>23</v>
      </c>
      <c r="D6" s="8">
        <f>(B6+C6)/2</f>
        <v/>
      </c>
      <c r="E6" s="8">
        <f>COS(RADIANS(D6))^2</f>
        <v/>
      </c>
      <c r="F6" s="8">
        <f>IF(A6&gt;0,E6*((4.52/2)^2+A6^2)/A6,"")</f>
        <v/>
      </c>
      <c r="H6" s="6" t="inlineStr">
        <is>
          <t>max θ (from data)</t>
        </is>
      </c>
      <c r="I6" s="8">
        <f>MAX(D6:D12)</f>
        <v/>
      </c>
      <c r="J6" s="6" t="inlineStr">
        <is>
          <t>°</t>
        </is>
      </c>
    </row>
    <row r="7">
      <c r="A7" s="5" t="n">
        <v>1</v>
      </c>
      <c r="B7" s="6" t="n">
        <v>40</v>
      </c>
      <c r="C7" s="6" t="n">
        <v>41</v>
      </c>
      <c r="D7" s="8">
        <f>(B7+C7)/2</f>
        <v/>
      </c>
      <c r="E7" s="8">
        <f>COS(RADIANS(D7))^2</f>
        <v/>
      </c>
      <c r="F7" s="8">
        <f>IF(A7&gt;0,E7*((4.52/2)^2+A7^2)/A7,"")</f>
        <v/>
      </c>
    </row>
    <row r="8">
      <c r="A8" s="5" t="n">
        <v>2</v>
      </c>
      <c r="B8" s="6" t="n">
        <v>44</v>
      </c>
      <c r="C8" s="6" t="n">
        <v>45</v>
      </c>
      <c r="D8" s="8">
        <f>(B8+C8)/2</f>
        <v/>
      </c>
      <c r="E8" s="8">
        <f>COS(RADIANS(D8))^2</f>
        <v/>
      </c>
      <c r="F8" s="8">
        <f>IF(A8&gt;0,E8*((4.52/2)^2+A8^2)/A8,"")</f>
        <v/>
      </c>
    </row>
    <row r="9">
      <c r="A9" s="5" t="n">
        <v>3</v>
      </c>
      <c r="B9" s="6" t="n">
        <v>44</v>
      </c>
      <c r="C9" s="6" t="n">
        <v>43</v>
      </c>
      <c r="D9" s="8">
        <f>(B9+C9)/2</f>
        <v/>
      </c>
      <c r="E9" s="8">
        <f>COS(RADIANS(D9))^2</f>
        <v/>
      </c>
      <c r="F9" s="8">
        <f>IF(A9&gt;0,E9*((4.52/2)^2+A9^2)/A9,"")</f>
        <v/>
      </c>
    </row>
    <row r="10">
      <c r="A10" s="5" t="n">
        <v>4</v>
      </c>
      <c r="B10" s="6" t="n">
        <v>41</v>
      </c>
      <c r="C10" s="6" t="n">
        <v>41</v>
      </c>
      <c r="D10" s="8">
        <f>(B10+C10)/2</f>
        <v/>
      </c>
      <c r="E10" s="8">
        <f>COS(RADIANS(D10))^2</f>
        <v/>
      </c>
      <c r="F10" s="8">
        <f>IF(A10&gt;0,E10*((4.52/2)^2+A10^2)/A10,"")</f>
        <v/>
      </c>
    </row>
    <row r="11">
      <c r="A11" s="5" t="n">
        <v>5</v>
      </c>
      <c r="B11" s="6" t="n">
        <v>39</v>
      </c>
      <c r="C11" s="6" t="n">
        <v>38</v>
      </c>
      <c r="D11" s="8">
        <f>(B11+C11)/2</f>
        <v/>
      </c>
      <c r="E11" s="8">
        <f>COS(RADIANS(D11))^2</f>
        <v/>
      </c>
      <c r="F11" s="8">
        <f>IF(A11&gt;0,E11*((4.52/2)^2+A11^2)/A11,"")</f>
        <v/>
      </c>
    </row>
    <row r="12">
      <c r="A12" s="5" t="n">
        <v>6</v>
      </c>
      <c r="B12" s="6" t="n">
        <v>33</v>
      </c>
      <c r="C12" s="6" t="n">
        <v>34</v>
      </c>
      <c r="D12" s="8">
        <f>(B12+C12)/2</f>
        <v/>
      </c>
      <c r="E12" s="8">
        <f>COS(RADIANS(D12))^2</f>
        <v/>
      </c>
      <c r="F12" s="8">
        <f>IF(A12&gt;0,E12*((4.52/2)^2+A12^2)/A12,"")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2026-10-18T22:27:55Z</dcterms:created>
  <dcterms:modified xmlns:dcterms="http://purl.org/dc/terms/" xmlns:xsi="http://www.w3.org/2001/XMLSchema-instance" xsi:type="dcterms:W3CDTF">2026-10-18T22:27:55Z</dcterms:modified>
</cp:coreProperties>
</file>