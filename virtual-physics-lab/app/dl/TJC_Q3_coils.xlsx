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 against R (coil Y)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solution'!$A$6:$A$12</f>
            </numRef>
          </xVal>
          <yVal>
            <numRef>
              <f>'Suggested solution'!$D$6:$D$12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 / Ω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IR / V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4" customWidth="1" min="5" max="5"/>
  </cols>
  <sheetData>
    <row r="1">
      <c r="A1" s="1" t="inlineStr">
        <is>
          <t>TJC Q3 – Coils Y and Z (sample data)</t>
        </is>
      </c>
    </row>
    <row r="2">
      <c r="A2" s="2" t="inlineStr">
        <is>
          <t>Plot IR against R; X = intercept/gradient.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R / Ω</t>
        </is>
      </c>
      <c r="B5" s="4" t="inlineStr">
        <is>
          <t>I (Y) / A</t>
        </is>
      </c>
      <c r="C5" s="4" t="inlineStr">
        <is>
          <t>I (Z) / A</t>
        </is>
      </c>
      <c r="D5" s="4" t="inlineStr">
        <is>
          <t>IR (Y) / V</t>
        </is>
      </c>
      <c r="E5" s="4" t="inlineStr">
        <is>
          <t>IR (Z) / V</t>
        </is>
      </c>
    </row>
    <row r="6">
      <c r="A6" s="5" t="n">
        <v>15</v>
      </c>
      <c r="B6" s="6" t="n">
        <v>0.212</v>
      </c>
      <c r="C6" s="6" t="n">
        <v>0.402</v>
      </c>
      <c r="D6" s="7" t="n"/>
      <c r="E6" s="7" t="n"/>
    </row>
    <row r="7">
      <c r="A7" s="5" t="n">
        <v>12</v>
      </c>
      <c r="B7" s="6" t="n">
        <v>0.232</v>
      </c>
      <c r="C7" s="6" t="n">
        <v>0.423</v>
      </c>
      <c r="D7" s="7" t="n"/>
      <c r="E7" s="7" t="n"/>
    </row>
    <row r="8">
      <c r="A8" s="5" t="n">
        <v>10</v>
      </c>
      <c r="B8" s="6" t="n">
        <v>0.255</v>
      </c>
      <c r="C8" s="6" t="n">
        <v>0.438</v>
      </c>
      <c r="D8" s="7" t="n"/>
      <c r="E8" s="7" t="n"/>
    </row>
    <row r="9">
      <c r="A9" s="5" t="n">
        <v>8</v>
      </c>
      <c r="B9" s="6" t="n">
        <v>0.287</v>
      </c>
      <c r="C9" s="6" t="n">
        <v>0.469</v>
      </c>
      <c r="D9" s="7" t="n"/>
      <c r="E9" s="7" t="n"/>
    </row>
    <row r="10">
      <c r="A10" s="5" t="n">
        <v>6</v>
      </c>
      <c r="B10" s="6" t="n">
        <v>0.337</v>
      </c>
      <c r="C10" s="6" t="n">
        <v>0.515</v>
      </c>
      <c r="D10" s="7" t="n"/>
      <c r="E10" s="7" t="n"/>
    </row>
    <row r="11">
      <c r="A11" s="5" t="n">
        <v>4</v>
      </c>
      <c r="B11" s="6" t="n">
        <v>0.438</v>
      </c>
      <c r="C11" s="6" t="n">
        <v>0.6</v>
      </c>
      <c r="D11" s="7" t="n"/>
      <c r="E11" s="7" t="n"/>
    </row>
    <row r="12">
      <c r="A12" s="5" t="n">
        <v>2</v>
      </c>
      <c r="B12" s="6" t="n">
        <v>0.6929999999999999</v>
      </c>
      <c r="C12" s="6" t="n">
        <v>0.83</v>
      </c>
      <c r="D12" s="7" t="n"/>
      <c r="E1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4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TJC Q3 – Coils Y and Z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R / Ω</t>
        </is>
      </c>
      <c r="B5" s="4" t="inlineStr">
        <is>
          <t>I (Y) / A</t>
        </is>
      </c>
      <c r="C5" s="4" t="inlineStr">
        <is>
          <t>I (Z) / A</t>
        </is>
      </c>
      <c r="D5" s="4" t="inlineStr">
        <is>
          <t>IR (Y) / V</t>
        </is>
      </c>
      <c r="E5" s="4" t="inlineStr">
        <is>
          <t>IR (Z) / V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15</v>
      </c>
      <c r="B6" s="6" t="n">
        <v>0.212</v>
      </c>
      <c r="C6" s="6" t="n">
        <v>0.402</v>
      </c>
      <c r="D6" s="8">
        <f>A6*B6</f>
        <v/>
      </c>
      <c r="E6" s="8">
        <f>A6*C6</f>
        <v/>
      </c>
      <c r="G6" s="9" t="inlineStr">
        <is>
          <t>X(Y)</t>
        </is>
      </c>
      <c r="H6" s="8">
        <f>INTERCEPT(D6:D12,A6:A12)/SLOPE(D6:D12,A6:A12)</f>
        <v/>
      </c>
      <c r="I6" s="9" t="inlineStr">
        <is>
          <t>Ω</t>
        </is>
      </c>
    </row>
    <row r="7">
      <c r="A7" s="5" t="n">
        <v>12</v>
      </c>
      <c r="B7" s="6" t="n">
        <v>0.232</v>
      </c>
      <c r="C7" s="6" t="n">
        <v>0.423</v>
      </c>
      <c r="D7" s="8">
        <f>A7*B7</f>
        <v/>
      </c>
      <c r="E7" s="8">
        <f>A7*C7</f>
        <v/>
      </c>
      <c r="G7" s="9" t="inlineStr">
        <is>
          <t>X(Z)</t>
        </is>
      </c>
      <c r="H7" s="8">
        <f>INTERCEPT(E6:E12,A6:A12)/SLOPE(E6:E12,A6:A12)</f>
        <v/>
      </c>
      <c r="I7" s="9" t="inlineStr">
        <is>
          <t>Ω</t>
        </is>
      </c>
    </row>
    <row r="8">
      <c r="A8" s="5" t="n">
        <v>10</v>
      </c>
      <c r="B8" s="6" t="n">
        <v>0.255</v>
      </c>
      <c r="C8" s="6" t="n">
        <v>0.438</v>
      </c>
      <c r="D8" s="8">
        <f>A8*B8</f>
        <v/>
      </c>
      <c r="E8" s="8">
        <f>A8*C8</f>
        <v/>
      </c>
    </row>
    <row r="9">
      <c r="A9" s="5" t="n">
        <v>8</v>
      </c>
      <c r="B9" s="6" t="n">
        <v>0.287</v>
      </c>
      <c r="C9" s="6" t="n">
        <v>0.469</v>
      </c>
      <c r="D9" s="8">
        <f>A9*B9</f>
        <v/>
      </c>
      <c r="E9" s="8">
        <f>A9*C9</f>
        <v/>
      </c>
    </row>
    <row r="10">
      <c r="A10" s="5" t="n">
        <v>6</v>
      </c>
      <c r="B10" s="6" t="n">
        <v>0.337</v>
      </c>
      <c r="C10" s="6" t="n">
        <v>0.515</v>
      </c>
      <c r="D10" s="8">
        <f>A10*B10</f>
        <v/>
      </c>
      <c r="E10" s="8">
        <f>A10*C10</f>
        <v/>
      </c>
    </row>
    <row r="11">
      <c r="A11" s="5" t="n">
        <v>4</v>
      </c>
      <c r="B11" s="6" t="n">
        <v>0.438</v>
      </c>
      <c r="C11" s="6" t="n">
        <v>0.6</v>
      </c>
      <c r="D11" s="8">
        <f>A11*B11</f>
        <v/>
      </c>
      <c r="E11" s="8">
        <f>A11*C11</f>
        <v/>
      </c>
    </row>
    <row r="12">
      <c r="A12" s="5" t="n">
        <v>2</v>
      </c>
      <c r="B12" s="6" t="n">
        <v>0.6929999999999999</v>
      </c>
      <c r="C12" s="6" t="n">
        <v>0.83</v>
      </c>
      <c r="D12" s="8">
        <f>A12*B12</f>
        <v/>
      </c>
      <c r="E12" s="8">
        <f>A12*C12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2026-10-18T22:30:54Z</dcterms:created>
  <dcterms:modified xmlns:dcterms="http://purl.org/dc/terms/" xmlns:xsi="http://www.w3.org/2001/XMLSchema-instance" xsi:type="dcterms:W3CDTF">2026-10-18T22:30:54Z</dcterms:modified>
</cp:coreProperties>
</file>