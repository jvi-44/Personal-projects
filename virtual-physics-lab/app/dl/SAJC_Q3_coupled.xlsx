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 against (m₂ − m₁)</a:t>
            </a:r>
          </a:p>
        </rich>
      </tx>
    </title>
    <plotArea>
      <scatterChart>
        <ser>
          <idx val="0"/>
          <order val="0"/>
          <tx>
            <strRef>
              <f>'Suggested solution'!B5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solution'!$C$6:$C$10</f>
            </numRef>
          </xVal>
          <yVal>
            <numRef>
              <f>'Suggested solution'!$B$6:$B$10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(m₂ − m₁) / 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/ 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1" t="inlineStr">
        <is>
          <t>SAJC Q3 – Coupled pendulums (Table 3.2)</t>
        </is>
      </c>
    </row>
    <row r="2">
      <c r="A2" s="2" t="inlineStr">
        <is>
          <t>m₁ = 40 g. Plot t against (m₂ − m₁) and find t at (m₂ − m₁) = 0.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m2 / g</t>
        </is>
      </c>
      <c r="B5" s="4" t="inlineStr">
        <is>
          <t>t / s</t>
        </is>
      </c>
      <c r="C5" s="4" t="inlineStr">
        <is>
          <t>(m2 − m1) / g</t>
        </is>
      </c>
    </row>
    <row r="6">
      <c r="A6" s="5" t="n">
        <v>80</v>
      </c>
      <c r="B6" s="5" t="n">
        <v>38</v>
      </c>
      <c r="C6" s="6" t="n"/>
    </row>
    <row r="7">
      <c r="A7" s="5" t="n">
        <v>100</v>
      </c>
      <c r="B7" s="5" t="n">
        <v>31</v>
      </c>
      <c r="C7" s="6" t="n"/>
    </row>
    <row r="8">
      <c r="A8" s="5" t="n">
        <v>120</v>
      </c>
      <c r="B8" s="5" t="n">
        <v>27</v>
      </c>
      <c r="C8" s="6" t="n"/>
    </row>
    <row r="9">
      <c r="A9" s="5" t="n">
        <v>140</v>
      </c>
      <c r="B9" s="5" t="n">
        <v>22</v>
      </c>
      <c r="C9" s="6" t="n"/>
    </row>
    <row r="10">
      <c r="A10" s="5" t="n">
        <v>160</v>
      </c>
      <c r="B10" s="5" t="n">
        <v>17</v>
      </c>
      <c r="C10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5" max="5"/>
    <col width="16" customWidth="1" min="6" max="6"/>
    <col width="28" customWidth="1" min="7" max="7"/>
  </cols>
  <sheetData>
    <row r="1">
      <c r="A1" s="1" t="inlineStr">
        <is>
          <t>SAJC Q3 – Coupled pendulums (Table 3.2)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m2 / g</t>
        </is>
      </c>
      <c r="B5" s="4" t="inlineStr">
        <is>
          <t>t / s</t>
        </is>
      </c>
      <c r="C5" s="4" t="inlineStr">
        <is>
          <t>(m2 − m1) / g</t>
        </is>
      </c>
      <c r="E5" s="4" t="inlineStr">
        <is>
          <t>Result</t>
        </is>
      </c>
      <c r="F5" s="4" t="inlineStr">
        <is>
          <t>Value</t>
        </is>
      </c>
      <c r="G5" s="4" t="inlineStr">
        <is>
          <t>Unit / note</t>
        </is>
      </c>
    </row>
    <row r="6">
      <c r="A6" s="5" t="n">
        <v>80</v>
      </c>
      <c r="B6" s="5" t="n">
        <v>38</v>
      </c>
      <c r="C6" s="7">
        <f>A6-40</f>
        <v/>
      </c>
      <c r="E6" s="5" t="inlineStr">
        <is>
          <t>gradient</t>
        </is>
      </c>
      <c r="F6" s="7">
        <f>SLOPE(B6:B10,C6:C10)</f>
        <v/>
      </c>
      <c r="G6" s="5" t="inlineStr">
        <is>
          <t>s g⁻¹</t>
        </is>
      </c>
    </row>
    <row r="7">
      <c r="A7" s="5" t="n">
        <v>100</v>
      </c>
      <c r="B7" s="5" t="n">
        <v>31</v>
      </c>
      <c r="C7" s="7">
        <f>A7-40</f>
        <v/>
      </c>
      <c r="E7" s="5" t="inlineStr">
        <is>
          <t>t at equal masses = intercept</t>
        </is>
      </c>
      <c r="F7" s="7">
        <f>INTERCEPT(B6:B10,C6:C10)</f>
        <v/>
      </c>
      <c r="G7" s="5" t="inlineStr">
        <is>
          <t>s</t>
        </is>
      </c>
    </row>
    <row r="8">
      <c r="A8" s="5" t="n">
        <v>120</v>
      </c>
      <c r="B8" s="5" t="n">
        <v>27</v>
      </c>
      <c r="C8" s="7">
        <f>A8-40</f>
        <v/>
      </c>
    </row>
    <row r="9">
      <c r="A9" s="5" t="n">
        <v>140</v>
      </c>
      <c r="B9" s="5" t="n">
        <v>22</v>
      </c>
      <c r="C9" s="7">
        <f>A9-40</f>
        <v/>
      </c>
    </row>
    <row r="10">
      <c r="A10" s="5" t="n">
        <v>160</v>
      </c>
      <c r="B10" s="5" t="n">
        <v>17</v>
      </c>
      <c r="C10" s="7">
        <f>A10-40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2026-10-18T22:26:50Z</dcterms:created>
  <dcterms:modified xmlns:dcterms="http://purl.org/dc/terms/" xmlns:xsi="http://www.w3.org/2001/XMLSchema-instance" xsi:type="dcterms:W3CDTF">2026-10-18T22:26:50Z</dcterms:modified>
</cp:coreProperties>
</file>