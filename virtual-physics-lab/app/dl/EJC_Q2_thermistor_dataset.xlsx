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  <font>
      <i val="1"/>
      <color rgb="001D2A44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 against I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'Suggested solution'!$C$6:$C$17</f>
            </numRef>
          </xVal>
          <yVal>
            <numRef>
              <f>'Suggested solution'!$D$6:$D$17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 / mA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 / 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20" customWidth="1" min="6" max="6"/>
  </cols>
  <sheetData>
    <row r="1">
      <c r="A1" s="1" t="inlineStr">
        <is>
          <t>EJC Q2(b) – Self-heating thermistor (practice dataset)</t>
        </is>
      </c>
    </row>
    <row r="2">
      <c r="A2" s="2" t="inlineStr">
        <is>
          <t>Readings 30 s after each e.m.f. increment. Compute R and P; plot R against I; estimate the energy dissipated.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V / V</t>
        </is>
      </c>
      <c r="C5" s="4" t="inlineStr">
        <is>
          <t>I / mA</t>
        </is>
      </c>
      <c r="D5" s="4" t="inlineStr">
        <is>
          <t>R / Ω</t>
        </is>
      </c>
      <c r="E5" s="4" t="inlineStr">
        <is>
          <t>P / W</t>
        </is>
      </c>
      <c r="F5" s="4" t="inlineStr">
        <is>
          <t>strip energy / J</t>
        </is>
      </c>
    </row>
    <row r="6">
      <c r="A6" s="5" t="n">
        <v>0</v>
      </c>
      <c r="B6" s="5" t="n">
        <v>0.4</v>
      </c>
      <c r="C6" s="5" t="n">
        <v>1.9</v>
      </c>
      <c r="D6" s="6" t="n"/>
      <c r="E6" s="6" t="n"/>
      <c r="F6" s="6" t="n"/>
    </row>
    <row r="7">
      <c r="A7" s="5" t="n">
        <v>30</v>
      </c>
      <c r="B7" s="5" t="n">
        <v>0.8</v>
      </c>
      <c r="C7" s="5" t="n">
        <v>3.8</v>
      </c>
      <c r="D7" s="6" t="n"/>
      <c r="E7" s="6" t="n"/>
      <c r="F7" s="6" t="n"/>
    </row>
    <row r="8">
      <c r="A8" s="5" t="n">
        <v>60</v>
      </c>
      <c r="B8" s="5" t="n">
        <v>1.2</v>
      </c>
      <c r="C8" s="5" t="n">
        <v>5.8</v>
      </c>
      <c r="D8" s="6" t="n"/>
      <c r="E8" s="6" t="n"/>
      <c r="F8" s="6" t="n"/>
    </row>
    <row r="9">
      <c r="A9" s="5" t="n">
        <v>90</v>
      </c>
      <c r="B9" s="5" t="n">
        <v>1.6</v>
      </c>
      <c r="C9" s="5" t="n">
        <v>7.8</v>
      </c>
      <c r="D9" s="6" t="n"/>
      <c r="E9" s="6" t="n"/>
      <c r="F9" s="6" t="n"/>
    </row>
    <row r="10">
      <c r="A10" s="5" t="n">
        <v>120</v>
      </c>
      <c r="B10" s="5" t="n">
        <v>2</v>
      </c>
      <c r="C10" s="5" t="n">
        <v>10.1</v>
      </c>
      <c r="D10" s="6" t="n"/>
      <c r="E10" s="6" t="n"/>
      <c r="F10" s="6" t="n"/>
    </row>
    <row r="11">
      <c r="A11" s="5" t="n">
        <v>150</v>
      </c>
      <c r="B11" s="5" t="n">
        <v>2.4</v>
      </c>
      <c r="C11" s="5" t="n">
        <v>12.5</v>
      </c>
      <c r="D11" s="6" t="n"/>
      <c r="E11" s="6" t="n"/>
      <c r="F11" s="6" t="n"/>
    </row>
    <row r="12">
      <c r="A12" s="5" t="n">
        <v>180</v>
      </c>
      <c r="B12" s="5" t="n">
        <v>2.8</v>
      </c>
      <c r="C12" s="5" t="n">
        <v>15.2</v>
      </c>
      <c r="D12" s="6" t="n"/>
      <c r="E12" s="6" t="n"/>
      <c r="F12" s="6" t="n"/>
    </row>
    <row r="13">
      <c r="A13" s="5" t="n">
        <v>210</v>
      </c>
      <c r="B13" s="5" t="n">
        <v>3.2</v>
      </c>
      <c r="C13" s="5" t="n">
        <v>18.2</v>
      </c>
      <c r="D13" s="6" t="n"/>
      <c r="E13" s="6" t="n"/>
      <c r="F13" s="6" t="n"/>
    </row>
    <row r="14">
      <c r="A14" s="5" t="n">
        <v>240</v>
      </c>
      <c r="B14" s="5" t="n">
        <v>3.6</v>
      </c>
      <c r="C14" s="5" t="n">
        <v>22</v>
      </c>
      <c r="D14" s="6" t="n"/>
      <c r="E14" s="6" t="n"/>
      <c r="F14" s="6" t="n"/>
    </row>
    <row r="15">
      <c r="A15" s="5" t="n">
        <v>270</v>
      </c>
      <c r="B15" s="5" t="n">
        <v>4</v>
      </c>
      <c r="C15" s="5" t="n">
        <v>26.4</v>
      </c>
      <c r="D15" s="6" t="n"/>
      <c r="E15" s="6" t="n"/>
      <c r="F15" s="6" t="n"/>
    </row>
    <row r="16">
      <c r="A16" s="5" t="n">
        <v>300</v>
      </c>
      <c r="B16" s="5" t="n">
        <v>4.4</v>
      </c>
      <c r="C16" s="5" t="n">
        <v>32.7</v>
      </c>
      <c r="D16" s="6" t="n"/>
      <c r="E16" s="6" t="n"/>
      <c r="F16" s="6" t="n"/>
    </row>
    <row r="17">
      <c r="A17" s="5" t="n">
        <v>330</v>
      </c>
      <c r="B17" s="5" t="n">
        <v>4.8</v>
      </c>
      <c r="C17" s="5" t="n">
        <v>42.3</v>
      </c>
      <c r="D17" s="6" t="n"/>
      <c r="E17" s="6" t="n"/>
      <c r="F17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20" customWidth="1" min="6" max="6"/>
    <col width="30" customWidth="1" min="8" max="8"/>
    <col width="16" customWidth="1" min="9" max="9"/>
    <col width="28" customWidth="1" min="10" max="10"/>
  </cols>
  <sheetData>
    <row r="1">
      <c r="A1" s="1" t="inlineStr">
        <is>
          <t>EJC Q2(b) – Self-heating thermistor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V / V</t>
        </is>
      </c>
      <c r="C5" s="4" t="inlineStr">
        <is>
          <t>I / mA</t>
        </is>
      </c>
      <c r="D5" s="4" t="inlineStr">
        <is>
          <t>R / Ω</t>
        </is>
      </c>
      <c r="E5" s="4" t="inlineStr">
        <is>
          <t>P / W</t>
        </is>
      </c>
      <c r="F5" s="4" t="inlineStr">
        <is>
          <t>strip energy / J</t>
        </is>
      </c>
      <c r="H5" s="4" t="inlineStr">
        <is>
          <t>Result</t>
        </is>
      </c>
      <c r="I5" s="4" t="inlineStr">
        <is>
          <t>Value</t>
        </is>
      </c>
      <c r="J5" s="4" t="inlineStr">
        <is>
          <t>Unit / note</t>
        </is>
      </c>
    </row>
    <row r="6">
      <c r="A6" s="5" t="n">
        <v>0</v>
      </c>
      <c r="B6" s="5" t="n">
        <v>0.4</v>
      </c>
      <c r="C6" s="5" t="n">
        <v>1.9</v>
      </c>
      <c r="D6" s="7">
        <f>B6/(C6/1000)</f>
        <v/>
      </c>
      <c r="E6" s="7">
        <f>B6*C6/1000</f>
        <v/>
      </c>
      <c r="F6" s="7">
        <f>IF(A7&lt;&gt;"",0.5*(E6+B7*C7/1000)*(A7-A6),"")</f>
        <v/>
      </c>
      <c r="H6" s="5" t="inlineStr">
        <is>
          <t>P at t = 90 s</t>
        </is>
      </c>
      <c r="I6" s="7">
        <f>E9</f>
        <v/>
      </c>
      <c r="J6" s="5" t="inlineStr">
        <is>
          <t>W</t>
        </is>
      </c>
    </row>
    <row r="7">
      <c r="A7" s="5" t="n">
        <v>30</v>
      </c>
      <c r="B7" s="5" t="n">
        <v>0.8</v>
      </c>
      <c r="C7" s="5" t="n">
        <v>3.8</v>
      </c>
      <c r="D7" s="7">
        <f>B7/(C7/1000)</f>
        <v/>
      </c>
      <c r="E7" s="7">
        <f>B7*C7/1000</f>
        <v/>
      </c>
      <c r="F7" s="7">
        <f>IF(A8&lt;&gt;"",0.5*(E7+B8*C8/1000)*(A8-A7),"")</f>
        <v/>
      </c>
      <c r="H7" s="5" t="inlineStr">
        <is>
          <t>total energy = Σ strips</t>
        </is>
      </c>
      <c r="I7" s="7">
        <f>SUM(F6:F17)</f>
        <v/>
      </c>
      <c r="J7" s="5" t="inlineStr">
        <is>
          <t>J</t>
        </is>
      </c>
    </row>
    <row r="8">
      <c r="A8" s="5" t="n">
        <v>60</v>
      </c>
      <c r="B8" s="5" t="n">
        <v>1.2</v>
      </c>
      <c r="C8" s="5" t="n">
        <v>5.8</v>
      </c>
      <c r="D8" s="7">
        <f>B8/(C8/1000)</f>
        <v/>
      </c>
      <c r="E8" s="7">
        <f>B8*C8/1000</f>
        <v/>
      </c>
      <c r="F8" s="7">
        <f>IF(A9&lt;&gt;"",0.5*(E8+B9*C9/1000)*(A9-A8),"")</f>
        <v/>
      </c>
    </row>
    <row r="9">
      <c r="A9" s="5" t="n">
        <v>90</v>
      </c>
      <c r="B9" s="5" t="n">
        <v>1.6</v>
      </c>
      <c r="C9" s="5" t="n">
        <v>7.8</v>
      </c>
      <c r="D9" s="7">
        <f>B9/(C9/1000)</f>
        <v/>
      </c>
      <c r="E9" s="7">
        <f>B9*C9/1000</f>
        <v/>
      </c>
      <c r="F9" s="7">
        <f>IF(A10&lt;&gt;"",0.5*(E9+B10*C10/1000)*(A10-A9),"")</f>
        <v/>
      </c>
      <c r="H9" s="8" t="inlineStr">
        <is>
          <t>Energy uses the trapezium rule on the P–t data (Δt = 30 s).</t>
        </is>
      </c>
    </row>
    <row r="10">
      <c r="A10" s="5" t="n">
        <v>120</v>
      </c>
      <c r="B10" s="5" t="n">
        <v>2</v>
      </c>
      <c r="C10" s="5" t="n">
        <v>10.1</v>
      </c>
      <c r="D10" s="7">
        <f>B10/(C10/1000)</f>
        <v/>
      </c>
      <c r="E10" s="7">
        <f>B10*C10/1000</f>
        <v/>
      </c>
      <c r="F10" s="7">
        <f>IF(A11&lt;&gt;"",0.5*(E10+B11*C11/1000)*(A11-A10),"")</f>
        <v/>
      </c>
    </row>
    <row r="11">
      <c r="A11" s="5" t="n">
        <v>150</v>
      </c>
      <c r="B11" s="5" t="n">
        <v>2.4</v>
      </c>
      <c r="C11" s="5" t="n">
        <v>12.5</v>
      </c>
      <c r="D11" s="7">
        <f>B11/(C11/1000)</f>
        <v/>
      </c>
      <c r="E11" s="7">
        <f>B11*C11/1000</f>
        <v/>
      </c>
      <c r="F11" s="7">
        <f>IF(A12&lt;&gt;"",0.5*(E11+B12*C12/1000)*(A12-A11),"")</f>
        <v/>
      </c>
    </row>
    <row r="12">
      <c r="A12" s="5" t="n">
        <v>180</v>
      </c>
      <c r="B12" s="5" t="n">
        <v>2.8</v>
      </c>
      <c r="C12" s="5" t="n">
        <v>15.2</v>
      </c>
      <c r="D12" s="7">
        <f>B12/(C12/1000)</f>
        <v/>
      </c>
      <c r="E12" s="7">
        <f>B12*C12/1000</f>
        <v/>
      </c>
      <c r="F12" s="7">
        <f>IF(A13&lt;&gt;"",0.5*(E12+B13*C13/1000)*(A13-A12),"")</f>
        <v/>
      </c>
    </row>
    <row r="13">
      <c r="A13" s="5" t="n">
        <v>210</v>
      </c>
      <c r="B13" s="5" t="n">
        <v>3.2</v>
      </c>
      <c r="C13" s="5" t="n">
        <v>18.2</v>
      </c>
      <c r="D13" s="7">
        <f>B13/(C13/1000)</f>
        <v/>
      </c>
      <c r="E13" s="7">
        <f>B13*C13/1000</f>
        <v/>
      </c>
      <c r="F13" s="7">
        <f>IF(A14&lt;&gt;"",0.5*(E13+B14*C14/1000)*(A14-A13),"")</f>
        <v/>
      </c>
    </row>
    <row r="14">
      <c r="A14" s="5" t="n">
        <v>240</v>
      </c>
      <c r="B14" s="5" t="n">
        <v>3.6</v>
      </c>
      <c r="C14" s="5" t="n">
        <v>22</v>
      </c>
      <c r="D14" s="7">
        <f>B14/(C14/1000)</f>
        <v/>
      </c>
      <c r="E14" s="7">
        <f>B14*C14/1000</f>
        <v/>
      </c>
      <c r="F14" s="7">
        <f>IF(A15&lt;&gt;"",0.5*(E14+B15*C15/1000)*(A15-A14),"")</f>
        <v/>
      </c>
    </row>
    <row r="15">
      <c r="A15" s="5" t="n">
        <v>270</v>
      </c>
      <c r="B15" s="5" t="n">
        <v>4</v>
      </c>
      <c r="C15" s="5" t="n">
        <v>26.4</v>
      </c>
      <c r="D15" s="7">
        <f>B15/(C15/1000)</f>
        <v/>
      </c>
      <c r="E15" s="7">
        <f>B15*C15/1000</f>
        <v/>
      </c>
      <c r="F15" s="7">
        <f>IF(A16&lt;&gt;"",0.5*(E15+B16*C16/1000)*(A16-A15),"")</f>
        <v/>
      </c>
    </row>
    <row r="16">
      <c r="A16" s="5" t="n">
        <v>300</v>
      </c>
      <c r="B16" s="5" t="n">
        <v>4.4</v>
      </c>
      <c r="C16" s="5" t="n">
        <v>32.7</v>
      </c>
      <c r="D16" s="7">
        <f>B16/(C16/1000)</f>
        <v/>
      </c>
      <c r="E16" s="7">
        <f>B16*C16/1000</f>
        <v/>
      </c>
      <c r="F16" s="7">
        <f>IF(A17&lt;&gt;"",0.5*(E16+B17*C17/1000)*(A17-A16),"")</f>
        <v/>
      </c>
    </row>
    <row r="17">
      <c r="A17" s="5" t="n">
        <v>330</v>
      </c>
      <c r="B17" s="5" t="n">
        <v>4.8</v>
      </c>
      <c r="C17" s="5" t="n">
        <v>42.3</v>
      </c>
      <c r="D17" s="7">
        <f>B17/(C17/1000)</f>
        <v/>
      </c>
      <c r="E17" s="7">
        <f>B17*C17/1000</f>
        <v/>
      </c>
      <c r="F17" s="7">
        <f>IF(A18&lt;&gt;"",0.5*(E17+B18*C18/1000)*(A18-A17),"")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2026-10-18T09:37:09Z</dcterms:created>
  <dcterms:modified xmlns:dcterms="http://purl.org/dc/terms/" xmlns:xsi="http://www.w3.org/2001/XMLSchema-instance" xsi:type="dcterms:W3CDTF">2026-10-18T09:37:09Z</dcterms:modified>
</cp:coreProperties>
</file>