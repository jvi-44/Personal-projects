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E+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5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(E − V)/L against V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solution'!$B$6:$B$12</f>
            </numRef>
          </xVal>
          <yVal>
            <numRef>
              <f>'Suggested solution'!$C$6:$C$12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/ V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(E − V)/L / V m⁻¹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</cols>
  <sheetData>
    <row r="1">
      <c r="A1" s="1" t="inlineStr">
        <is>
          <t>ASRJC Q1 – Wire, two resistors X (sample data)</t>
        </is>
      </c>
    </row>
    <row r="2">
      <c r="A2" s="2" t="inlineStr">
        <is>
          <t>E = 3.04 V, R = 10.0 Ω.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L / cm</t>
        </is>
      </c>
      <c r="B5" s="4" t="inlineStr">
        <is>
          <t>V / V</t>
        </is>
      </c>
      <c r="C5" s="4" t="inlineStr">
        <is>
          <t>(E − V)/L / V m⁻¹</t>
        </is>
      </c>
    </row>
    <row r="6">
      <c r="A6" s="5" t="n">
        <v>30</v>
      </c>
      <c r="B6" s="5" t="n">
        <v>2.18</v>
      </c>
      <c r="C6" s="6" t="n"/>
    </row>
    <row r="7">
      <c r="A7" s="5" t="n">
        <v>40</v>
      </c>
      <c r="B7" s="5" t="n">
        <v>2.08</v>
      </c>
      <c r="C7" s="6" t="n"/>
    </row>
    <row r="8">
      <c r="A8" s="5" t="n">
        <v>50</v>
      </c>
      <c r="B8" s="5" t="n">
        <v>2</v>
      </c>
      <c r="C8" s="6" t="n"/>
    </row>
    <row r="9">
      <c r="A9" s="5" t="n">
        <v>60</v>
      </c>
      <c r="B9" s="5" t="n">
        <v>1.94</v>
      </c>
      <c r="C9" s="6" t="n"/>
    </row>
    <row r="10">
      <c r="A10" s="5" t="n">
        <v>70</v>
      </c>
      <c r="B10" s="5" t="n">
        <v>1.89</v>
      </c>
      <c r="C10" s="6" t="n"/>
    </row>
    <row r="11">
      <c r="A11" s="5" t="n">
        <v>80</v>
      </c>
      <c r="B11" s="5" t="n">
        <v>1.86</v>
      </c>
      <c r="C11" s="6" t="n"/>
    </row>
    <row r="12">
      <c r="A12" s="5" t="n">
        <v>90</v>
      </c>
      <c r="B12" s="5" t="n">
        <v>1.83</v>
      </c>
      <c r="C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ASRJC Q1 – Wire, two resistors X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L / cm</t>
        </is>
      </c>
      <c r="B5" s="4" t="inlineStr">
        <is>
          <t>V / V</t>
        </is>
      </c>
      <c r="C5" s="4" t="inlineStr">
        <is>
          <t>(E − V)/L / V m⁻¹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30</v>
      </c>
      <c r="B6" s="5" t="n">
        <v>2.18</v>
      </c>
      <c r="C6" s="7">
        <f>(3.04-B6)/(A6/100)</f>
        <v/>
      </c>
      <c r="E6" s="5" t="inlineStr">
        <is>
          <t>P = gradient</t>
        </is>
      </c>
      <c r="F6" s="8">
        <f>SLOPE(C6:C12,B6:B12)</f>
        <v/>
      </c>
      <c r="G6" s="5" t="inlineStr">
        <is>
          <t>m⁻¹</t>
        </is>
      </c>
    </row>
    <row r="7">
      <c r="A7" s="5" t="n">
        <v>40</v>
      </c>
      <c r="B7" s="5" t="n">
        <v>2.08</v>
      </c>
      <c r="C7" s="7">
        <f>(3.04-B7)/(A7/100)</f>
        <v/>
      </c>
      <c r="E7" s="5" t="inlineStr">
        <is>
          <t>Q = −intercept</t>
        </is>
      </c>
      <c r="F7" s="8">
        <f>-INTERCEPT(C6:C12,B6:B12)</f>
        <v/>
      </c>
      <c r="G7" s="5" t="inlineStr">
        <is>
          <t>V m⁻¹</t>
        </is>
      </c>
    </row>
    <row r="8">
      <c r="A8" s="5" t="n">
        <v>50</v>
      </c>
      <c r="B8" s="5" t="n">
        <v>2</v>
      </c>
      <c r="C8" s="7">
        <f>(3.04-B8)/(A8/100)</f>
        <v/>
      </c>
      <c r="E8" s="5" t="inlineStr">
        <is>
          <t>Q/P (expect E/2)</t>
        </is>
      </c>
      <c r="F8" s="8">
        <f>-INTERCEPT(C6:C12,B6:B12)/SLOPE(C6:C12,B6:B12)</f>
        <v/>
      </c>
      <c r="G8" s="5" t="inlineStr">
        <is>
          <t>V</t>
        </is>
      </c>
    </row>
    <row r="9">
      <c r="A9" s="5" t="n">
        <v>60</v>
      </c>
      <c r="B9" s="5" t="n">
        <v>1.94</v>
      </c>
      <c r="C9" s="7">
        <f>(3.04-B9)/(A9/100)</f>
        <v/>
      </c>
    </row>
    <row r="10">
      <c r="A10" s="5" t="n">
        <v>70</v>
      </c>
      <c r="B10" s="5" t="n">
        <v>1.89</v>
      </c>
      <c r="C10" s="7">
        <f>(3.04-B10)/(A10/100)</f>
        <v/>
      </c>
    </row>
    <row r="11">
      <c r="A11" s="5" t="n">
        <v>80</v>
      </c>
      <c r="B11" s="5" t="n">
        <v>1.86</v>
      </c>
      <c r="C11" s="7">
        <f>(3.04-B11)/(A11/100)</f>
        <v/>
      </c>
    </row>
    <row r="12">
      <c r="A12" s="5" t="n">
        <v>90</v>
      </c>
      <c r="B12" s="5" t="n">
        <v>1.83</v>
      </c>
      <c r="C12" s="7">
        <f>(3.04-B12)/(A12/100)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2026-10-18T09:45:20Z</dcterms:created>
  <dcterms:modified xmlns:dcterms="http://purl.org/dc/terms/" xmlns:xsi="http://www.w3.org/2001/XMLSchema-instance" xsi:type="dcterms:W3CDTF">2026-10-18T09:45:21Z</dcterms:modified>
</cp:coreProperties>
</file>