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ln(F/A + 1) against x</a:t>
            </a:r>
          </a:p>
        </rich>
      </tx>
    </title>
    <plotArea>
      <scatterChart>
        <ser>
          <idx val="0"/>
          <order val="0"/>
          <tx>
            <strRef>
              <f>'Suggested solution'!C5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solution'!$A$6:$A$36</f>
            </numRef>
          </xVal>
          <yVal>
            <numRef>
              <f>'Suggested solution'!$C$6:$C$36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/ 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ln(F/A + 1)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</cols>
  <sheetData>
    <row r="1">
      <c r="A1" s="1" t="inlineStr">
        <is>
          <t>SAJC Q2(f) – Force–extension loading data (practice dataset)</t>
        </is>
      </c>
    </row>
    <row r="2">
      <c r="A2" s="2" t="inlineStr">
        <is>
          <t>A = 2.0 N. Work done = area under F–x. Plot ln(F/A + 1) against x for B.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x / m</t>
        </is>
      </c>
      <c r="B5" s="4" t="inlineStr">
        <is>
          <t>F / N</t>
        </is>
      </c>
      <c r="C5" s="4" t="inlineStr">
        <is>
          <t>ln(F/2 + 1)</t>
        </is>
      </c>
      <c r="D5" s="4" t="inlineStr">
        <is>
          <t>strip area / J</t>
        </is>
      </c>
    </row>
    <row r="6">
      <c r="A6" s="5" t="n">
        <v>0</v>
      </c>
      <c r="B6" s="5" t="n">
        <v>0</v>
      </c>
      <c r="C6" s="6" t="n"/>
      <c r="D6" s="6" t="n"/>
    </row>
    <row r="7">
      <c r="A7" s="5" t="n">
        <v>0.001</v>
      </c>
      <c r="B7" s="5" t="n">
        <v>0.176</v>
      </c>
      <c r="C7" s="6" t="n"/>
      <c r="D7" s="6" t="n"/>
    </row>
    <row r="8">
      <c r="A8" s="5" t="n">
        <v>0.002</v>
      </c>
      <c r="B8" s="5" t="n">
        <v>0.374</v>
      </c>
      <c r="C8" s="6" t="n"/>
      <c r="D8" s="6" t="n"/>
    </row>
    <row r="9">
      <c r="A9" s="5" t="n">
        <v>0.003</v>
      </c>
      <c r="B9" s="5" t="n">
        <v>0.582</v>
      </c>
      <c r="C9" s="6" t="n"/>
      <c r="D9" s="6" t="n"/>
    </row>
    <row r="10">
      <c r="A10" s="5" t="n">
        <v>0.004</v>
      </c>
      <c r="B10" s="5" t="n">
        <v>0.8149999999999999</v>
      </c>
      <c r="C10" s="6" t="n"/>
      <c r="D10" s="6" t="n"/>
    </row>
    <row r="11">
      <c r="A11" s="5" t="n">
        <v>0.005</v>
      </c>
      <c r="B11" s="5" t="n">
        <v>1.061</v>
      </c>
      <c r="C11" s="6" t="n"/>
      <c r="D11" s="6" t="n"/>
    </row>
    <row r="12">
      <c r="A12" s="5" t="n">
        <v>0.006</v>
      </c>
      <c r="B12" s="5" t="n">
        <v>1.334</v>
      </c>
      <c r="C12" s="6" t="n"/>
      <c r="D12" s="6" t="n"/>
    </row>
    <row r="13">
      <c r="A13" s="5" t="n">
        <v>0.007</v>
      </c>
      <c r="B13" s="5" t="n">
        <v>1.635</v>
      </c>
      <c r="C13" s="6" t="n"/>
      <c r="D13" s="6" t="n"/>
    </row>
    <row r="14">
      <c r="A14" s="5" t="n">
        <v>0.008</v>
      </c>
      <c r="B14" s="5" t="n">
        <v>1.945</v>
      </c>
      <c r="C14" s="6" t="n"/>
      <c r="D14" s="6" t="n"/>
    </row>
    <row r="15">
      <c r="A15" s="5" t="n">
        <v>0.008999999999999999</v>
      </c>
      <c r="B15" s="5" t="n">
        <v>2.308</v>
      </c>
      <c r="C15" s="6" t="n"/>
      <c r="D15" s="6" t="n"/>
    </row>
    <row r="16">
      <c r="A16" s="5" t="n">
        <v>0.01</v>
      </c>
      <c r="B16" s="5" t="n">
        <v>2.678</v>
      </c>
      <c r="C16" s="6" t="n"/>
      <c r="D16" s="6" t="n"/>
    </row>
    <row r="17">
      <c r="A17" s="5" t="n">
        <v>0.011</v>
      </c>
      <c r="B17" s="5" t="n">
        <v>3.108</v>
      </c>
      <c r="C17" s="6" t="n"/>
      <c r="D17" s="6" t="n"/>
    </row>
    <row r="18">
      <c r="A18" s="5" t="n">
        <v>0.012</v>
      </c>
      <c r="B18" s="5" t="n">
        <v>3.558</v>
      </c>
      <c r="C18" s="6" t="n"/>
      <c r="D18" s="6" t="n"/>
    </row>
    <row r="19">
      <c r="A19" s="5" t="n">
        <v>0.013</v>
      </c>
      <c r="B19" s="5" t="n">
        <v>4.024</v>
      </c>
      <c r="C19" s="6" t="n"/>
      <c r="D19" s="6" t="n"/>
    </row>
    <row r="20">
      <c r="A20" s="5" t="n">
        <v>0.014</v>
      </c>
      <c r="B20" s="5" t="n">
        <v>4.574</v>
      </c>
      <c r="C20" s="6" t="n"/>
      <c r="D20" s="6" t="n"/>
    </row>
    <row r="21">
      <c r="A21" s="5" t="n">
        <v>0.015</v>
      </c>
      <c r="B21" s="5" t="n">
        <v>5.139</v>
      </c>
      <c r="C21" s="6" t="n"/>
      <c r="D21" s="6" t="n"/>
    </row>
    <row r="22">
      <c r="A22" s="5" t="n">
        <v>0.016</v>
      </c>
      <c r="B22" s="5" t="n">
        <v>5.796</v>
      </c>
      <c r="C22" s="6" t="n"/>
      <c r="D22" s="6" t="n"/>
    </row>
    <row r="23">
      <c r="A23" s="5" t="n">
        <v>0.017</v>
      </c>
      <c r="B23" s="5" t="n">
        <v>6.455</v>
      </c>
      <c r="C23" s="6" t="n"/>
      <c r="D23" s="6" t="n"/>
    </row>
    <row r="24">
      <c r="A24" s="5" t="n">
        <v>0.018</v>
      </c>
      <c r="B24" s="5" t="n">
        <v>7.174</v>
      </c>
      <c r="C24" s="6" t="n"/>
      <c r="D24" s="6" t="n"/>
    </row>
    <row r="25">
      <c r="A25" s="5" t="n">
        <v>0.019</v>
      </c>
      <c r="B25" s="5" t="n">
        <v>8.090999999999999</v>
      </c>
      <c r="C25" s="6" t="n"/>
      <c r="D25" s="6" t="n"/>
    </row>
    <row r="26">
      <c r="A26" s="5" t="n">
        <v>0.02</v>
      </c>
      <c r="B26" s="5" t="n">
        <v>8.922000000000001</v>
      </c>
      <c r="C26" s="6" t="n"/>
      <c r="D26" s="6" t="n"/>
    </row>
    <row r="27">
      <c r="A27" s="5" t="n">
        <v>0.021</v>
      </c>
      <c r="B27" s="5" t="n">
        <v>9.920999999999999</v>
      </c>
      <c r="C27" s="6" t="n"/>
      <c r="D27" s="6" t="n"/>
    </row>
    <row r="28">
      <c r="A28" s="5" t="n">
        <v>0.022</v>
      </c>
      <c r="B28" s="5" t="n">
        <v>10.968</v>
      </c>
      <c r="C28" s="6" t="n"/>
      <c r="D28" s="6" t="n"/>
    </row>
    <row r="29">
      <c r="A29" s="5" t="n">
        <v>0.023</v>
      </c>
      <c r="B29" s="5" t="n">
        <v>12.185</v>
      </c>
      <c r="C29" s="6" t="n"/>
      <c r="D29" s="6" t="n"/>
    </row>
    <row r="30">
      <c r="A30" s="5" t="n">
        <v>0.024</v>
      </c>
      <c r="B30" s="5" t="n">
        <v>13.354</v>
      </c>
      <c r="C30" s="6" t="n"/>
      <c r="D30" s="6" t="n"/>
    </row>
    <row r="31">
      <c r="A31" s="5" t="n">
        <v>0.025</v>
      </c>
      <c r="B31" s="5" t="n">
        <v>14.732</v>
      </c>
      <c r="C31" s="6" t="n"/>
      <c r="D31" s="6" t="n"/>
    </row>
    <row r="32">
      <c r="A32" s="5" t="n">
        <v>0.026</v>
      </c>
      <c r="B32" s="5" t="n">
        <v>16.356</v>
      </c>
      <c r="C32" s="6" t="n"/>
      <c r="D32" s="6" t="n"/>
    </row>
    <row r="33">
      <c r="A33" s="5" t="n">
        <v>0.027</v>
      </c>
      <c r="B33" s="5" t="n">
        <v>17.857</v>
      </c>
      <c r="C33" s="6" t="n"/>
      <c r="D33" s="6" t="n"/>
    </row>
    <row r="34">
      <c r="A34" s="5" t="n">
        <v>0.028</v>
      </c>
      <c r="B34" s="5" t="n">
        <v>19.499</v>
      </c>
      <c r="C34" s="6" t="n"/>
      <c r="D34" s="6" t="n"/>
    </row>
    <row r="35">
      <c r="A35" s="5" t="n">
        <v>0.029</v>
      </c>
      <c r="B35" s="5" t="n">
        <v>21.44</v>
      </c>
      <c r="C35" s="6" t="n"/>
      <c r="D35" s="6" t="n"/>
    </row>
    <row r="36">
      <c r="A36" s="5" t="n">
        <v>0.03</v>
      </c>
      <c r="B36" s="5" t="n">
        <v>23.731</v>
      </c>
      <c r="C36" s="6" t="n"/>
      <c r="D3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30" customWidth="1" min="6" max="6"/>
    <col width="16" customWidth="1" min="7" max="7"/>
    <col width="28" customWidth="1" min="8" max="8"/>
  </cols>
  <sheetData>
    <row r="1">
      <c r="A1" s="1" t="inlineStr">
        <is>
          <t>SAJC Q2(f) – Force–extension loading data (practice dataset)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x / m</t>
        </is>
      </c>
      <c r="B5" s="4" t="inlineStr">
        <is>
          <t>F / N</t>
        </is>
      </c>
      <c r="C5" s="4" t="inlineStr">
        <is>
          <t>ln(F/2 + 1)</t>
        </is>
      </c>
      <c r="D5" s="4" t="inlineStr">
        <is>
          <t>strip area / J</t>
        </is>
      </c>
      <c r="F5" s="4" t="inlineStr">
        <is>
          <t>Result</t>
        </is>
      </c>
      <c r="G5" s="4" t="inlineStr">
        <is>
          <t>Value</t>
        </is>
      </c>
      <c r="H5" s="4" t="inlineStr">
        <is>
          <t>Unit / note</t>
        </is>
      </c>
    </row>
    <row r="6">
      <c r="A6" s="5" t="n">
        <v>0</v>
      </c>
      <c r="B6" s="5" t="n">
        <v>0</v>
      </c>
      <c r="C6" s="7">
        <f>LN(B6/2+1)</f>
        <v/>
      </c>
      <c r="D6" s="7">
        <f>IF(A7&lt;&gt;"",0.5*(B6+B7)*(A7-A6),"")</f>
        <v/>
      </c>
      <c r="F6" s="8" t="inlineStr">
        <is>
          <t>work done = Σ strips</t>
        </is>
      </c>
      <c r="G6" s="7">
        <f>SUM(D6:D36)</f>
        <v/>
      </c>
      <c r="H6" s="8" t="inlineStr">
        <is>
          <t>J</t>
        </is>
      </c>
    </row>
    <row r="7">
      <c r="A7" s="5" t="n">
        <v>0.001</v>
      </c>
      <c r="B7" s="5" t="n">
        <v>0.176</v>
      </c>
      <c r="C7" s="7">
        <f>LN(B7/2+1)</f>
        <v/>
      </c>
      <c r="D7" s="7">
        <f>IF(A8&lt;&gt;"",0.5*(B7+B8)*(A8-A7),"")</f>
        <v/>
      </c>
      <c r="F7" s="8" t="inlineStr">
        <is>
          <t>B = gradient</t>
        </is>
      </c>
      <c r="G7" s="7">
        <f>SLOPE(C6:C36,A6:A36)</f>
        <v/>
      </c>
      <c r="H7" s="8" t="inlineStr">
        <is>
          <t>m⁻¹</t>
        </is>
      </c>
    </row>
    <row r="8">
      <c r="A8" s="5" t="n">
        <v>0.002</v>
      </c>
      <c r="B8" s="5" t="n">
        <v>0.374</v>
      </c>
      <c r="C8" s="7">
        <f>LN(B8/2+1)</f>
        <v/>
      </c>
      <c r="D8" s="7">
        <f>IF(A9&lt;&gt;"",0.5*(B8+B9)*(A9-A8),"")</f>
        <v/>
      </c>
    </row>
    <row r="9">
      <c r="A9" s="5" t="n">
        <v>0.003</v>
      </c>
      <c r="B9" s="5" t="n">
        <v>0.582</v>
      </c>
      <c r="C9" s="7">
        <f>LN(B9/2+1)</f>
        <v/>
      </c>
      <c r="D9" s="7">
        <f>IF(A10&lt;&gt;"",0.5*(B9+B10)*(A10-A9),"")</f>
        <v/>
      </c>
    </row>
    <row r="10">
      <c r="A10" s="5" t="n">
        <v>0.004</v>
      </c>
      <c r="B10" s="5" t="n">
        <v>0.8149999999999999</v>
      </c>
      <c r="C10" s="7">
        <f>LN(B10/2+1)</f>
        <v/>
      </c>
      <c r="D10" s="7">
        <f>IF(A11&lt;&gt;"",0.5*(B10+B11)*(A11-A10),"")</f>
        <v/>
      </c>
    </row>
    <row r="11">
      <c r="A11" s="5" t="n">
        <v>0.005</v>
      </c>
      <c r="B11" s="5" t="n">
        <v>1.061</v>
      </c>
      <c r="C11" s="7">
        <f>LN(B11/2+1)</f>
        <v/>
      </c>
      <c r="D11" s="7">
        <f>IF(A12&lt;&gt;"",0.5*(B11+B12)*(A12-A11),"")</f>
        <v/>
      </c>
    </row>
    <row r="12">
      <c r="A12" s="5" t="n">
        <v>0.006</v>
      </c>
      <c r="B12" s="5" t="n">
        <v>1.334</v>
      </c>
      <c r="C12" s="7">
        <f>LN(B12/2+1)</f>
        <v/>
      </c>
      <c r="D12" s="7">
        <f>IF(A13&lt;&gt;"",0.5*(B12+B13)*(A13-A12),"")</f>
        <v/>
      </c>
    </row>
    <row r="13">
      <c r="A13" s="5" t="n">
        <v>0.007</v>
      </c>
      <c r="B13" s="5" t="n">
        <v>1.635</v>
      </c>
      <c r="C13" s="7">
        <f>LN(B13/2+1)</f>
        <v/>
      </c>
      <c r="D13" s="7">
        <f>IF(A14&lt;&gt;"",0.5*(B13+B14)*(A14-A13),"")</f>
        <v/>
      </c>
    </row>
    <row r="14">
      <c r="A14" s="5" t="n">
        <v>0.008</v>
      </c>
      <c r="B14" s="5" t="n">
        <v>1.945</v>
      </c>
      <c r="C14" s="7">
        <f>LN(B14/2+1)</f>
        <v/>
      </c>
      <c r="D14" s="7">
        <f>IF(A15&lt;&gt;"",0.5*(B14+B15)*(A15-A14),"")</f>
        <v/>
      </c>
    </row>
    <row r="15">
      <c r="A15" s="5" t="n">
        <v>0.008999999999999999</v>
      </c>
      <c r="B15" s="5" t="n">
        <v>2.308</v>
      </c>
      <c r="C15" s="7">
        <f>LN(B15/2+1)</f>
        <v/>
      </c>
      <c r="D15" s="7">
        <f>IF(A16&lt;&gt;"",0.5*(B15+B16)*(A16-A15),"")</f>
        <v/>
      </c>
    </row>
    <row r="16">
      <c r="A16" s="5" t="n">
        <v>0.01</v>
      </c>
      <c r="B16" s="5" t="n">
        <v>2.678</v>
      </c>
      <c r="C16" s="7">
        <f>LN(B16/2+1)</f>
        <v/>
      </c>
      <c r="D16" s="7">
        <f>IF(A17&lt;&gt;"",0.5*(B16+B17)*(A17-A16),"")</f>
        <v/>
      </c>
    </row>
    <row r="17">
      <c r="A17" s="5" t="n">
        <v>0.011</v>
      </c>
      <c r="B17" s="5" t="n">
        <v>3.108</v>
      </c>
      <c r="C17" s="7">
        <f>LN(B17/2+1)</f>
        <v/>
      </c>
      <c r="D17" s="7">
        <f>IF(A18&lt;&gt;"",0.5*(B17+B18)*(A18-A17),"")</f>
        <v/>
      </c>
    </row>
    <row r="18">
      <c r="A18" s="5" t="n">
        <v>0.012</v>
      </c>
      <c r="B18" s="5" t="n">
        <v>3.558</v>
      </c>
      <c r="C18" s="7">
        <f>LN(B18/2+1)</f>
        <v/>
      </c>
      <c r="D18" s="7">
        <f>IF(A19&lt;&gt;"",0.5*(B18+B19)*(A19-A18),"")</f>
        <v/>
      </c>
    </row>
    <row r="19">
      <c r="A19" s="5" t="n">
        <v>0.013</v>
      </c>
      <c r="B19" s="5" t="n">
        <v>4.024</v>
      </c>
      <c r="C19" s="7">
        <f>LN(B19/2+1)</f>
        <v/>
      </c>
      <c r="D19" s="7">
        <f>IF(A20&lt;&gt;"",0.5*(B19+B20)*(A20-A19),"")</f>
        <v/>
      </c>
    </row>
    <row r="20">
      <c r="A20" s="5" t="n">
        <v>0.014</v>
      </c>
      <c r="B20" s="5" t="n">
        <v>4.574</v>
      </c>
      <c r="C20" s="7">
        <f>LN(B20/2+1)</f>
        <v/>
      </c>
      <c r="D20" s="7">
        <f>IF(A21&lt;&gt;"",0.5*(B20+B21)*(A21-A20),"")</f>
        <v/>
      </c>
    </row>
    <row r="21">
      <c r="A21" s="5" t="n">
        <v>0.015</v>
      </c>
      <c r="B21" s="5" t="n">
        <v>5.139</v>
      </c>
      <c r="C21" s="7">
        <f>LN(B21/2+1)</f>
        <v/>
      </c>
      <c r="D21" s="7">
        <f>IF(A22&lt;&gt;"",0.5*(B21+B22)*(A22-A21),"")</f>
        <v/>
      </c>
    </row>
    <row r="22">
      <c r="A22" s="5" t="n">
        <v>0.016</v>
      </c>
      <c r="B22" s="5" t="n">
        <v>5.796</v>
      </c>
      <c r="C22" s="7">
        <f>LN(B22/2+1)</f>
        <v/>
      </c>
      <c r="D22" s="7">
        <f>IF(A23&lt;&gt;"",0.5*(B22+B23)*(A23-A22),"")</f>
        <v/>
      </c>
    </row>
    <row r="23">
      <c r="A23" s="5" t="n">
        <v>0.017</v>
      </c>
      <c r="B23" s="5" t="n">
        <v>6.455</v>
      </c>
      <c r="C23" s="7">
        <f>LN(B23/2+1)</f>
        <v/>
      </c>
      <c r="D23" s="7">
        <f>IF(A24&lt;&gt;"",0.5*(B23+B24)*(A24-A23),"")</f>
        <v/>
      </c>
    </row>
    <row r="24">
      <c r="A24" s="5" t="n">
        <v>0.018</v>
      </c>
      <c r="B24" s="5" t="n">
        <v>7.174</v>
      </c>
      <c r="C24" s="7">
        <f>LN(B24/2+1)</f>
        <v/>
      </c>
      <c r="D24" s="7">
        <f>IF(A25&lt;&gt;"",0.5*(B24+B25)*(A25-A24),"")</f>
        <v/>
      </c>
    </row>
    <row r="25">
      <c r="A25" s="5" t="n">
        <v>0.019</v>
      </c>
      <c r="B25" s="5" t="n">
        <v>8.090999999999999</v>
      </c>
      <c r="C25" s="7">
        <f>LN(B25/2+1)</f>
        <v/>
      </c>
      <c r="D25" s="7">
        <f>IF(A26&lt;&gt;"",0.5*(B25+B26)*(A26-A25),"")</f>
        <v/>
      </c>
    </row>
    <row r="26">
      <c r="A26" s="5" t="n">
        <v>0.02</v>
      </c>
      <c r="B26" s="5" t="n">
        <v>8.922000000000001</v>
      </c>
      <c r="C26" s="7">
        <f>LN(B26/2+1)</f>
        <v/>
      </c>
      <c r="D26" s="7">
        <f>IF(A27&lt;&gt;"",0.5*(B26+B27)*(A27-A26),"")</f>
        <v/>
      </c>
    </row>
    <row r="27">
      <c r="A27" s="5" t="n">
        <v>0.021</v>
      </c>
      <c r="B27" s="5" t="n">
        <v>9.920999999999999</v>
      </c>
      <c r="C27" s="7">
        <f>LN(B27/2+1)</f>
        <v/>
      </c>
      <c r="D27" s="7">
        <f>IF(A28&lt;&gt;"",0.5*(B27+B28)*(A28-A27),"")</f>
        <v/>
      </c>
    </row>
    <row r="28">
      <c r="A28" s="5" t="n">
        <v>0.022</v>
      </c>
      <c r="B28" s="5" t="n">
        <v>10.968</v>
      </c>
      <c r="C28" s="7">
        <f>LN(B28/2+1)</f>
        <v/>
      </c>
      <c r="D28" s="7">
        <f>IF(A29&lt;&gt;"",0.5*(B28+B29)*(A29-A28),"")</f>
        <v/>
      </c>
    </row>
    <row r="29">
      <c r="A29" s="5" t="n">
        <v>0.023</v>
      </c>
      <c r="B29" s="5" t="n">
        <v>12.185</v>
      </c>
      <c r="C29" s="7">
        <f>LN(B29/2+1)</f>
        <v/>
      </c>
      <c r="D29" s="7">
        <f>IF(A30&lt;&gt;"",0.5*(B29+B30)*(A30-A29),"")</f>
        <v/>
      </c>
    </row>
    <row r="30">
      <c r="A30" s="5" t="n">
        <v>0.024</v>
      </c>
      <c r="B30" s="5" t="n">
        <v>13.354</v>
      </c>
      <c r="C30" s="7">
        <f>LN(B30/2+1)</f>
        <v/>
      </c>
      <c r="D30" s="7">
        <f>IF(A31&lt;&gt;"",0.5*(B30+B31)*(A31-A30),"")</f>
        <v/>
      </c>
    </row>
    <row r="31">
      <c r="A31" s="5" t="n">
        <v>0.025</v>
      </c>
      <c r="B31" s="5" t="n">
        <v>14.732</v>
      </c>
      <c r="C31" s="7">
        <f>LN(B31/2+1)</f>
        <v/>
      </c>
      <c r="D31" s="7">
        <f>IF(A32&lt;&gt;"",0.5*(B31+B32)*(A32-A31),"")</f>
        <v/>
      </c>
    </row>
    <row r="32">
      <c r="A32" s="5" t="n">
        <v>0.026</v>
      </c>
      <c r="B32" s="5" t="n">
        <v>16.356</v>
      </c>
      <c r="C32" s="7">
        <f>LN(B32/2+1)</f>
        <v/>
      </c>
      <c r="D32" s="7">
        <f>IF(A33&lt;&gt;"",0.5*(B32+B33)*(A33-A32),"")</f>
        <v/>
      </c>
    </row>
    <row r="33">
      <c r="A33" s="5" t="n">
        <v>0.027</v>
      </c>
      <c r="B33" s="5" t="n">
        <v>17.857</v>
      </c>
      <c r="C33" s="7">
        <f>LN(B33/2+1)</f>
        <v/>
      </c>
      <c r="D33" s="7">
        <f>IF(A34&lt;&gt;"",0.5*(B33+B34)*(A34-A33),"")</f>
        <v/>
      </c>
    </row>
    <row r="34">
      <c r="A34" s="5" t="n">
        <v>0.028</v>
      </c>
      <c r="B34" s="5" t="n">
        <v>19.499</v>
      </c>
      <c r="C34" s="7">
        <f>LN(B34/2+1)</f>
        <v/>
      </c>
      <c r="D34" s="7">
        <f>IF(A35&lt;&gt;"",0.5*(B34+B35)*(A35-A34),"")</f>
        <v/>
      </c>
    </row>
    <row r="35">
      <c r="A35" s="5" t="n">
        <v>0.029</v>
      </c>
      <c r="B35" s="5" t="n">
        <v>21.44</v>
      </c>
      <c r="C35" s="7">
        <f>LN(B35/2+1)</f>
        <v/>
      </c>
      <c r="D35" s="7">
        <f>IF(A36&lt;&gt;"",0.5*(B35+B36)*(A36-A35),"")</f>
        <v/>
      </c>
    </row>
    <row r="36">
      <c r="A36" s="5" t="n">
        <v>0.03</v>
      </c>
      <c r="B36" s="5" t="n">
        <v>23.731</v>
      </c>
      <c r="C36" s="7">
        <f>LN(B36/2+1)</f>
        <v/>
      </c>
      <c r="D36" s="7">
        <f>IF(A37&lt;&gt;"",0.5*(B36+B37)*(A37-A36),"")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2026-10-18T22:26:50Z</dcterms:created>
  <dcterms:modified xmlns:dcterms="http://purl.org/dc/terms/" xmlns:xsi="http://www.w3.org/2001/XMLSchema-instance" xsi:type="dcterms:W3CDTF">2026-10-18T22:26:50Z</dcterms:modified>
</cp:coreProperties>
</file>